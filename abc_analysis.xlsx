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45\Documents\Учеба\Анализ\4 ABC анализ Excel\"/>
    </mc:Choice>
  </mc:AlternateContent>
  <bookViews>
    <workbookView xWindow="0" yWindow="0" windowWidth="17790" windowHeight="4030" activeTab="2"/>
  </bookViews>
  <sheets>
    <sheet name="ABC-анализ" sheetId="1" r:id="rId1"/>
    <sheet name="Распределение по группам" sheetId="9" r:id="rId2"/>
    <sheet name="Выводы" sheetId="8" r:id="rId3"/>
  </sheets>
  <calcPr calcId="152511"/>
  <pivotCaches>
    <pivotCache cacheId="0" r:id="rId4"/>
  </pivotCaches>
</workbook>
</file>

<file path=xl/calcChain.xml><?xml version="1.0" encoding="utf-8"?>
<calcChain xmlns="http://schemas.openxmlformats.org/spreadsheetml/2006/main">
  <c r="O5" i="1" l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4" i="1"/>
  <c r="N53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4" i="1"/>
  <c r="M6" i="1"/>
  <c r="M7" i="1"/>
  <c r="M8" i="1"/>
  <c r="M9" i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" i="1"/>
  <c r="M4" i="1"/>
  <c r="K6" i="1"/>
  <c r="K4" i="1"/>
  <c r="K7" i="1"/>
  <c r="K5" i="1"/>
  <c r="K16" i="1"/>
  <c r="K9" i="1"/>
  <c r="K23" i="1"/>
  <c r="K15" i="1"/>
  <c r="K10" i="1"/>
  <c r="K13" i="1"/>
  <c r="K19" i="1"/>
  <c r="K24" i="1"/>
  <c r="K11" i="1"/>
  <c r="K8" i="1"/>
  <c r="K18" i="1"/>
  <c r="K14" i="1"/>
  <c r="K32" i="1"/>
  <c r="K28" i="1"/>
  <c r="K31" i="1"/>
  <c r="K30" i="1"/>
  <c r="K22" i="1"/>
  <c r="K17" i="1"/>
  <c r="K35" i="1"/>
  <c r="K27" i="1"/>
  <c r="K33" i="1"/>
  <c r="K21" i="1"/>
  <c r="K25" i="1"/>
  <c r="K26" i="1"/>
  <c r="K20" i="1"/>
  <c r="K29" i="1"/>
  <c r="K37" i="1"/>
  <c r="K45" i="1"/>
  <c r="K42" i="1"/>
  <c r="K38" i="1"/>
  <c r="K40" i="1"/>
  <c r="K41" i="1"/>
  <c r="K46" i="1"/>
  <c r="K39" i="1"/>
  <c r="K47" i="1"/>
  <c r="K34" i="1"/>
  <c r="K50" i="1"/>
  <c r="K48" i="1"/>
  <c r="K36" i="1"/>
  <c r="K43" i="1"/>
  <c r="K44" i="1"/>
  <c r="K52" i="1"/>
  <c r="K53" i="1"/>
  <c r="K49" i="1"/>
  <c r="K51" i="1"/>
  <c r="K12" i="1"/>
  <c r="D54" i="1" l="1"/>
  <c r="E54" i="1"/>
  <c r="C54" i="1"/>
  <c r="F8" i="1" s="1"/>
  <c r="L6" i="1" l="1"/>
  <c r="L16" i="1"/>
  <c r="L10" i="1"/>
  <c r="L11" i="1"/>
  <c r="L32" i="1"/>
  <c r="L22" i="1"/>
  <c r="L33" i="1"/>
  <c r="L20" i="1"/>
  <c r="L42" i="1"/>
  <c r="L46" i="1"/>
  <c r="L50" i="1"/>
  <c r="L44" i="1"/>
  <c r="L51" i="1"/>
  <c r="L18" i="1"/>
  <c r="L35" i="1"/>
  <c r="L40" i="1"/>
  <c r="L36" i="1"/>
  <c r="L24" i="1"/>
  <c r="L27" i="1"/>
  <c r="L45" i="1"/>
  <c r="L34" i="1"/>
  <c r="L49" i="1"/>
  <c r="L4" i="1"/>
  <c r="L9" i="1"/>
  <c r="L13" i="1"/>
  <c r="L8" i="1"/>
  <c r="L28" i="1"/>
  <c r="L17" i="1"/>
  <c r="L21" i="1"/>
  <c r="L29" i="1"/>
  <c r="L38" i="1"/>
  <c r="L39" i="1"/>
  <c r="L48" i="1"/>
  <c r="L52" i="1"/>
  <c r="L12" i="1"/>
  <c r="L7" i="1"/>
  <c r="L23" i="1"/>
  <c r="L19" i="1"/>
  <c r="L31" i="1"/>
  <c r="L25" i="1"/>
  <c r="L37" i="1"/>
  <c r="L47" i="1"/>
  <c r="L53" i="1"/>
  <c r="L5" i="1"/>
  <c r="L15" i="1"/>
  <c r="L14" i="1"/>
  <c r="L30" i="1"/>
  <c r="L26" i="1"/>
  <c r="L41" i="1"/>
  <c r="L43" i="1"/>
  <c r="F32" i="1"/>
  <c r="F14" i="1"/>
  <c r="F38" i="1"/>
  <c r="I6" i="1"/>
  <c r="I19" i="1"/>
  <c r="I4" i="1"/>
  <c r="I28" i="1"/>
  <c r="I30" i="1"/>
  <c r="I33" i="1"/>
  <c r="I25" i="1"/>
  <c r="I41" i="1"/>
  <c r="I26" i="1"/>
  <c r="I29" i="1"/>
  <c r="I40" i="1"/>
  <c r="I44" i="1"/>
  <c r="I53" i="1"/>
  <c r="I39" i="1"/>
  <c r="I11" i="1"/>
  <c r="I10" i="1"/>
  <c r="I24" i="1"/>
  <c r="I32" i="1"/>
  <c r="I17" i="1"/>
  <c r="I18" i="1"/>
  <c r="I38" i="1"/>
  <c r="I20" i="1"/>
  <c r="I48" i="1"/>
  <c r="I45" i="1"/>
  <c r="I52" i="1"/>
  <c r="I49" i="1"/>
  <c r="I9" i="1"/>
  <c r="I50" i="1"/>
  <c r="I12" i="1"/>
  <c r="I16" i="1"/>
  <c r="I5" i="1"/>
  <c r="I15" i="1"/>
  <c r="I8" i="1"/>
  <c r="I35" i="1"/>
  <c r="I27" i="1"/>
  <c r="I21" i="1"/>
  <c r="I34" i="1"/>
  <c r="I36" i="1"/>
  <c r="I46" i="1"/>
  <c r="I51" i="1"/>
  <c r="I13" i="1"/>
  <c r="I7" i="1"/>
  <c r="I14" i="1"/>
  <c r="I23" i="1"/>
  <c r="I31" i="1"/>
  <c r="I22" i="1"/>
  <c r="I37" i="1"/>
  <c r="I42" i="1"/>
  <c r="I47" i="1"/>
  <c r="I43" i="1"/>
  <c r="F47" i="1"/>
  <c r="F34" i="1"/>
  <c r="F21" i="1"/>
  <c r="F13" i="1"/>
  <c r="F19" i="1"/>
  <c r="F15" i="1"/>
  <c r="F31" i="1"/>
  <c r="F6" i="1"/>
  <c r="F29" i="1"/>
  <c r="F52" i="1"/>
  <c r="F43" i="1"/>
  <c r="F10" i="1"/>
  <c r="F12" i="1"/>
  <c r="F35" i="1"/>
  <c r="F18" i="1"/>
  <c r="F17" i="1"/>
  <c r="F36" i="1"/>
  <c r="F41" i="1"/>
  <c r="F42" i="1"/>
  <c r="F45" i="1"/>
  <c r="F28" i="1"/>
  <c r="F5" i="1"/>
  <c r="F40" i="1"/>
  <c r="F37" i="1"/>
  <c r="F20" i="1"/>
  <c r="F50" i="1"/>
  <c r="F48" i="1"/>
  <c r="F30" i="1"/>
  <c r="F7" i="1"/>
  <c r="F16" i="1"/>
  <c r="F25" i="1"/>
  <c r="F4" i="1"/>
  <c r="F49" i="1"/>
  <c r="F22" i="1"/>
  <c r="F9" i="1"/>
  <c r="H9" i="1" s="1"/>
  <c r="F26" i="1"/>
  <c r="F23" i="1"/>
  <c r="F24" i="1"/>
  <c r="F27" i="1"/>
  <c r="F39" i="1"/>
  <c r="F33" i="1"/>
  <c r="F46" i="1"/>
  <c r="F53" i="1"/>
  <c r="F11" i="1"/>
  <c r="F44" i="1"/>
  <c r="F51" i="1"/>
  <c r="H6" i="1" l="1"/>
  <c r="H11" i="1" l="1"/>
  <c r="H12" i="1" l="1"/>
  <c r="H13" i="1" l="1"/>
  <c r="H19" i="1" l="1"/>
  <c r="H10" i="1" l="1"/>
  <c r="H16" i="1" l="1"/>
  <c r="H7" i="1" l="1"/>
  <c r="H4" i="1" l="1"/>
  <c r="H24" i="1" l="1"/>
  <c r="H5" i="1" l="1"/>
  <c r="H14" i="1" l="1"/>
  <c r="H28" i="1" l="1"/>
  <c r="H32" i="1" l="1"/>
  <c r="H15" i="1" l="1"/>
  <c r="H23" i="1" l="1"/>
  <c r="H30" i="1" l="1"/>
  <c r="H17" i="1" l="1"/>
  <c r="H8" i="1" l="1"/>
  <c r="H31" i="1" l="1"/>
  <c r="H33" i="1" l="1"/>
  <c r="H18" i="1" l="1"/>
  <c r="H35" i="1" l="1"/>
  <c r="H22" i="1" l="1"/>
  <c r="H25" i="1" l="1"/>
  <c r="H38" i="1" l="1"/>
  <c r="H27" i="1" l="1"/>
  <c r="H37" i="1" l="1"/>
  <c r="H41" i="1" l="1"/>
  <c r="H20" i="1" l="1"/>
  <c r="H21" i="1" l="1"/>
  <c r="H42" i="1" l="1"/>
  <c r="H26" i="1" l="1"/>
  <c r="H48" i="1" l="1"/>
  <c r="H34" i="1" l="1"/>
  <c r="H39" i="1" l="1"/>
  <c r="H29" i="1" l="1"/>
  <c r="H45" i="1" l="1"/>
  <c r="H36" i="1" l="1"/>
  <c r="H47" i="1" l="1"/>
  <c r="H40" i="1" l="1"/>
  <c r="H52" i="1" l="1"/>
  <c r="H46" i="1" l="1"/>
  <c r="H50" i="1" l="1"/>
  <c r="H44" i="1" l="1"/>
  <c r="H49" i="1" l="1"/>
  <c r="H51" i="1" l="1"/>
  <c r="H43" i="1" l="1"/>
  <c r="H53" i="1"/>
</calcChain>
</file>

<file path=xl/sharedStrings.xml><?xml version="1.0" encoding="utf-8"?>
<sst xmlns="http://schemas.openxmlformats.org/spreadsheetml/2006/main" count="134" uniqueCount="77">
  <si>
    <t>Название</t>
  </si>
  <si>
    <t>Группа</t>
  </si>
  <si>
    <t>Санокс Актив 1 кг</t>
  </si>
  <si>
    <t>Стиральный порошок</t>
  </si>
  <si>
    <t>Санокс Актив 3 кг</t>
  </si>
  <si>
    <t>Средства для мытья посуды</t>
  </si>
  <si>
    <t>Cif Крем 2 кг</t>
  </si>
  <si>
    <t>Миф Автомат 1 л</t>
  </si>
  <si>
    <t>Дос Автомат 2 кг</t>
  </si>
  <si>
    <t>Дос Color 2 кг</t>
  </si>
  <si>
    <t>BioMio Универсал 750 мл</t>
  </si>
  <si>
    <t>Чистящие средства</t>
  </si>
  <si>
    <t>Дос Эксперт 2 кг</t>
  </si>
  <si>
    <t>Ariel Pods 2 кг</t>
  </si>
  <si>
    <t>BioMio Bio-Care 750 мл</t>
  </si>
  <si>
    <t>Fairy Гель 750 мл</t>
  </si>
  <si>
    <t>Cif Крем 500 мл</t>
  </si>
  <si>
    <t>Domestos Антибак 1 л</t>
  </si>
  <si>
    <t>BioMio Универсал 1 кг</t>
  </si>
  <si>
    <t>Дос Автомат 500 мл</t>
  </si>
  <si>
    <t>Дос Автомат 1 л</t>
  </si>
  <si>
    <t>Cif Крем 1 л</t>
  </si>
  <si>
    <t>Ariel Pods 1 л</t>
  </si>
  <si>
    <t>Cif Спрей 1 кг</t>
  </si>
  <si>
    <t>Ariel Автомат 3 кг</t>
  </si>
  <si>
    <t>Санокс Универсал 1 кг</t>
  </si>
  <si>
    <t>BioMio Bio-Care 500 мл</t>
  </si>
  <si>
    <t>Санокс Гель 1 л</t>
  </si>
  <si>
    <t>Миф Автомат 1 кг</t>
  </si>
  <si>
    <t>BioMio Bio-Color 3 кг</t>
  </si>
  <si>
    <t>Ariel Liquid 3 кг</t>
  </si>
  <si>
    <t>Fairy Гель 500 мл</t>
  </si>
  <si>
    <t>Дос Эксперт 750 мл</t>
  </si>
  <si>
    <t>Ariel Liquid 2 кг</t>
  </si>
  <si>
    <t>Fairy Бальзам 2 кг</t>
  </si>
  <si>
    <t>Санокс Универсал 500 мл</t>
  </si>
  <si>
    <t>Cif Спрей 3 кг</t>
  </si>
  <si>
    <t>Санокс Гель 3 кг</t>
  </si>
  <si>
    <t>Fairy Гель 1 кг</t>
  </si>
  <si>
    <t>Ariel Liquid 500 мл</t>
  </si>
  <si>
    <t>Дос Color 1 л</t>
  </si>
  <si>
    <t>Санокс Гель 500 мл</t>
  </si>
  <si>
    <t>Дос Color 750 мл</t>
  </si>
  <si>
    <t>Cif Крем 1 кг</t>
  </si>
  <si>
    <t>Domestos Супер 500 мл</t>
  </si>
  <si>
    <t>Итого</t>
  </si>
  <si>
    <t>Доля по количеству</t>
  </si>
  <si>
    <t>Накопительный итог по количеству</t>
  </si>
  <si>
    <t>Доля по выручке</t>
  </si>
  <si>
    <t>Накопительный итог по выручке</t>
  </si>
  <si>
    <t>ABC по количеству продаж</t>
  </si>
  <si>
    <t>ABC по выручке</t>
  </si>
  <si>
    <t>Доля по прибыли</t>
  </si>
  <si>
    <t>Накопительный итог по прибыли</t>
  </si>
  <si>
    <t>ABC по прибыли</t>
  </si>
  <si>
    <t>ABC</t>
  </si>
  <si>
    <t>Выручка, руб.</t>
  </si>
  <si>
    <t>Прибыль, руб.</t>
  </si>
  <si>
    <t>Количество, шт.</t>
  </si>
  <si>
    <t>AAA</t>
  </si>
  <si>
    <t>AAB</t>
  </si>
  <si>
    <t>ABB</t>
  </si>
  <si>
    <t>BAA</t>
  </si>
  <si>
    <t>BAB</t>
  </si>
  <si>
    <t>BBA</t>
  </si>
  <si>
    <t>BBB</t>
  </si>
  <si>
    <t>BBC</t>
  </si>
  <si>
    <t>BCC</t>
  </si>
  <si>
    <t>CBB</t>
  </si>
  <si>
    <t>CCB</t>
  </si>
  <si>
    <t>CCC</t>
  </si>
  <si>
    <t>ABC-анализ по товарам за март 2026 года</t>
  </si>
  <si>
    <t xml:space="preserve">Распределение по группам  </t>
  </si>
  <si>
    <t>Row Labels</t>
  </si>
  <si>
    <t>Grand Total</t>
  </si>
  <si>
    <t>Count of ABC</t>
  </si>
  <si>
    <t xml:space="preserve">Компания в сфере ритейла столкнулась с необходимостью оценки эффективности ассортимента. Для анализа был применён комплексный ABC-анализ по трем ключевым метрикам: количество продаж, выручка и валовая прибыль за март 2026 года.
Выводы по результатам анализа:
1. Значительная часть ассортимента относится к категории AAA, что указывает на отсутствие чёткого выделения ключевых товаров-лидеров.
2. Продажи распределены по большому количеству товаров, отсутствуют ярко выраженные флагманские позиции, генерирующие основную долю выручки и прибыли. Что несет следующие риски: рост операционных издержек на логистику, усложнение управления запасами и снижение эффективности маркетинговых кампаний.
3. Обнаружен ряд товаров с высоким объемом продаж (A по количеству), но низкой прибыльностью (B по прибыли). Возможны ошибки в ценообразовании или завышенная себестоимость/закупочная цена.
Рекомендации:
1. Провести ABC-анализ в динамике по месяцам. Это позволит выявить стабильные A-товары, отследить переходы между категориями.
2. Оптимизация продуктовой матрицы: рассмотреть сокращение наиболее слабых позиций категории C (вывод из ассортимента) и перераспределение ресурсов на поддержку товаров категории A.
3. Выделить фокусные продукты (potential leaders): определить товары с потенциалом роста и усилить их продвижение.
4. Проанализировать маржинальность: на товары с высокой выручкой, но низкой прибылью необходимо скорректировать цены или закупочные условия.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</si>
</sst>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9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6130.68489837963" createdVersion="5" refreshedVersion="5" minRefreshableVersion="3" recordCount="50">
  <cacheSource type="worksheet">
    <worksheetSource ref="O3:O53" sheet="ABC-анализ"/>
  </cacheSource>
  <cacheFields count="1">
    <cacheField name="ABC" numFmtId="0">
      <sharedItems count="12">
        <s v="AAA"/>
        <s v="BAA"/>
        <s v="BBA"/>
        <s v="ABB"/>
        <s v="BBB"/>
        <s v="AAB"/>
        <s v="CBB"/>
        <s v="CCB"/>
        <s v="BAB"/>
        <s v="CCC"/>
        <s v="BBC"/>
        <s v="BCC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2"/>
  </r>
  <r>
    <x v="0"/>
  </r>
  <r>
    <x v="2"/>
  </r>
  <r>
    <x v="0"/>
  </r>
  <r>
    <x v="3"/>
  </r>
  <r>
    <x v="4"/>
  </r>
  <r>
    <x v="4"/>
  </r>
  <r>
    <x v="3"/>
  </r>
  <r>
    <x v="5"/>
  </r>
  <r>
    <x v="6"/>
  </r>
  <r>
    <x v="7"/>
  </r>
  <r>
    <x v="8"/>
  </r>
  <r>
    <x v="4"/>
  </r>
  <r>
    <x v="4"/>
  </r>
  <r>
    <x v="4"/>
  </r>
  <r>
    <x v="9"/>
  </r>
  <r>
    <x v="10"/>
  </r>
  <r>
    <x v="9"/>
  </r>
  <r>
    <x v="11"/>
  </r>
  <r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16" firstHeaderRow="1" firstDataRow="1" firstDataCol="1"/>
  <pivotFields count="1">
    <pivotField axis="axisRow" dataField="1" showAll="0">
      <items count="13">
        <item x="0"/>
        <item x="5"/>
        <item x="3"/>
        <item x="1"/>
        <item x="8"/>
        <item x="2"/>
        <item x="4"/>
        <item x="10"/>
        <item x="11"/>
        <item x="6"/>
        <item x="7"/>
        <item x="9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ABC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"/>
  <sheetViews>
    <sheetView zoomScale="55" zoomScaleNormal="55" workbookViewId="0">
      <selection activeCell="P17" sqref="P17"/>
    </sheetView>
  </sheetViews>
  <sheetFormatPr defaultRowHeight="14.5" x14ac:dyDescent="0.35"/>
  <cols>
    <col min="1" max="1" width="23" bestFit="1" customWidth="1"/>
    <col min="2" max="2" width="30.7265625" customWidth="1"/>
    <col min="3" max="3" width="11.7265625" customWidth="1"/>
    <col min="4" max="4" width="12.08984375" customWidth="1"/>
    <col min="5" max="5" width="10.7265625" customWidth="1"/>
    <col min="6" max="6" width="11.7265625" customWidth="1"/>
    <col min="7" max="7" width="17.7265625" customWidth="1"/>
    <col min="8" max="8" width="17.81640625" customWidth="1"/>
    <col min="10" max="10" width="15.1796875" customWidth="1"/>
    <col min="11" max="11" width="12.81640625" customWidth="1"/>
    <col min="12" max="12" width="10.453125" customWidth="1"/>
    <col min="13" max="13" width="16.36328125" customWidth="1"/>
    <col min="14" max="14" width="10" customWidth="1"/>
  </cols>
  <sheetData>
    <row r="1" spans="1:15" x14ac:dyDescent="0.35">
      <c r="A1" s="11" t="s">
        <v>71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3" spans="1:15" ht="28.5" customHeight="1" x14ac:dyDescent="0.35">
      <c r="A3" s="1" t="s">
        <v>0</v>
      </c>
      <c r="B3" s="1" t="s">
        <v>1</v>
      </c>
      <c r="C3" s="2" t="s">
        <v>58</v>
      </c>
      <c r="D3" s="2" t="s">
        <v>56</v>
      </c>
      <c r="E3" s="2" t="s">
        <v>57</v>
      </c>
      <c r="F3" s="2" t="s">
        <v>46</v>
      </c>
      <c r="G3" s="2" t="s">
        <v>47</v>
      </c>
      <c r="H3" s="2" t="s">
        <v>50</v>
      </c>
      <c r="I3" s="2" t="s">
        <v>48</v>
      </c>
      <c r="J3" s="2" t="s">
        <v>49</v>
      </c>
      <c r="K3" s="2" t="s">
        <v>51</v>
      </c>
      <c r="L3" s="2" t="s">
        <v>52</v>
      </c>
      <c r="M3" s="2" t="s">
        <v>53</v>
      </c>
      <c r="N3" s="2" t="s">
        <v>54</v>
      </c>
      <c r="O3" s="2" t="s">
        <v>55</v>
      </c>
    </row>
    <row r="4" spans="1:15" x14ac:dyDescent="0.35">
      <c r="A4" t="s">
        <v>14</v>
      </c>
      <c r="B4" t="s">
        <v>11</v>
      </c>
      <c r="C4" s="3">
        <v>270</v>
      </c>
      <c r="D4" s="4">
        <v>237424.37</v>
      </c>
      <c r="E4" s="4">
        <v>57525.23</v>
      </c>
      <c r="F4" s="5">
        <f t="shared" ref="F4:F35" si="0">C4/$C$54</f>
        <v>2.6044178643773511E-2</v>
      </c>
      <c r="G4" s="6">
        <v>0.27983023053921097</v>
      </c>
      <c r="H4" s="3" t="str">
        <f t="shared" ref="H4:H35" si="1">IF(G4&lt;80%,"A",IF(G4&lt;95%,"B","C"))</f>
        <v>A</v>
      </c>
      <c r="I4" s="5">
        <f t="shared" ref="I4:I35" si="2">D4/$D$54</f>
        <v>3.1211324778813998E-2</v>
      </c>
      <c r="J4" s="6">
        <v>9.9552240890265681E-2</v>
      </c>
      <c r="K4" s="3" t="str">
        <f t="shared" ref="K4:K35" si="3">IF(J4&lt;80%,"A",IF(J4&lt;95%,"B","C"))</f>
        <v>A</v>
      </c>
      <c r="L4" s="5">
        <f t="shared" ref="L4:L35" si="4">E4/$E$54</f>
        <v>3.8913664442951593E-2</v>
      </c>
      <c r="M4" s="6">
        <f>L4</f>
        <v>3.8913664442951593E-2</v>
      </c>
      <c r="N4" s="3" t="str">
        <f>IF(M4&lt;80%,"A",IF(M4&lt;95%,"B","C"))</f>
        <v>A</v>
      </c>
      <c r="O4" s="3" t="str">
        <f>H4&amp;K4&amp;N4</f>
        <v>AAA</v>
      </c>
    </row>
    <row r="5" spans="1:15" x14ac:dyDescent="0.35">
      <c r="A5" t="s">
        <v>2</v>
      </c>
      <c r="B5" t="s">
        <v>3</v>
      </c>
      <c r="C5" s="3">
        <v>266</v>
      </c>
      <c r="D5" s="4">
        <v>226735.99</v>
      </c>
      <c r="E5" s="4">
        <v>53124.86</v>
      </c>
      <c r="F5" s="5">
        <f t="shared" si="0"/>
        <v>2.5658338960162053E-2</v>
      </c>
      <c r="G5" s="6">
        <v>0.33153274814314654</v>
      </c>
      <c r="H5" s="3" t="str">
        <f t="shared" si="1"/>
        <v>A</v>
      </c>
      <c r="I5" s="5">
        <f t="shared" si="2"/>
        <v>2.9806252083288343E-2</v>
      </c>
      <c r="J5" s="6">
        <v>0.15951021527712966</v>
      </c>
      <c r="K5" s="3" t="str">
        <f t="shared" si="3"/>
        <v>A</v>
      </c>
      <c r="L5" s="5">
        <f t="shared" si="4"/>
        <v>3.5936978880723836E-2</v>
      </c>
      <c r="M5" s="6">
        <f>L5+M4</f>
        <v>7.4850643323675428E-2</v>
      </c>
      <c r="N5" s="3" t="str">
        <f t="shared" ref="N5:N52" si="5">IF(M5&lt;80%,"A",IF(M5&lt;95%,"B","C"))</f>
        <v>A</v>
      </c>
      <c r="O5" s="3" t="str">
        <f t="shared" ref="O5:O53" si="6">H5&amp;K5&amp;N5</f>
        <v>AAA</v>
      </c>
    </row>
    <row r="6" spans="1:15" x14ac:dyDescent="0.35">
      <c r="A6" t="s">
        <v>13</v>
      </c>
      <c r="B6" t="s">
        <v>5</v>
      </c>
      <c r="C6" s="3">
        <v>299</v>
      </c>
      <c r="D6" s="4">
        <v>259002.23</v>
      </c>
      <c r="E6" s="4">
        <v>46964.88</v>
      </c>
      <c r="F6" s="5">
        <f t="shared" si="0"/>
        <v>2.8841516349956593E-2</v>
      </c>
      <c r="G6" s="6">
        <v>5.7779492620816053E-2</v>
      </c>
      <c r="H6" s="3" t="str">
        <f t="shared" si="1"/>
        <v>A</v>
      </c>
      <c r="I6" s="5">
        <f t="shared" si="2"/>
        <v>3.4047906366844662E-2</v>
      </c>
      <c r="J6" s="6">
        <v>6.8340916111451683E-2</v>
      </c>
      <c r="K6" s="3" t="str">
        <f t="shared" si="3"/>
        <v>A</v>
      </c>
      <c r="L6" s="5">
        <f t="shared" si="4"/>
        <v>3.1769983030463127E-2</v>
      </c>
      <c r="M6" s="6">
        <f t="shared" ref="M6:M53" si="7">L6+M5</f>
        <v>0.10662062635413855</v>
      </c>
      <c r="N6" s="3" t="str">
        <f t="shared" si="5"/>
        <v>A</v>
      </c>
      <c r="O6" s="3" t="str">
        <f t="shared" si="6"/>
        <v>AAA</v>
      </c>
    </row>
    <row r="7" spans="1:15" x14ac:dyDescent="0.35">
      <c r="A7" t="s">
        <v>24</v>
      </c>
      <c r="B7" t="s">
        <v>5</v>
      </c>
      <c r="C7" s="3">
        <v>276</v>
      </c>
      <c r="D7" s="4">
        <v>229363.98</v>
      </c>
      <c r="E7" s="4">
        <v>46455.16</v>
      </c>
      <c r="F7" s="5">
        <f t="shared" si="0"/>
        <v>2.6622938169190702E-2</v>
      </c>
      <c r="G7" s="6">
        <v>0.25378605189543746</v>
      </c>
      <c r="H7" s="3" t="str">
        <f t="shared" si="1"/>
        <v>A</v>
      </c>
      <c r="I7" s="5">
        <f t="shared" si="2"/>
        <v>3.0151722303575657E-2</v>
      </c>
      <c r="J7" s="6">
        <v>0.12970396319384134</v>
      </c>
      <c r="K7" s="3" t="str">
        <f t="shared" si="3"/>
        <v>A</v>
      </c>
      <c r="L7" s="5">
        <f t="shared" si="4"/>
        <v>3.1425176533559744E-2</v>
      </c>
      <c r="M7" s="6">
        <f t="shared" si="7"/>
        <v>0.1380458028876983</v>
      </c>
      <c r="N7" s="3" t="str">
        <f t="shared" si="5"/>
        <v>A</v>
      </c>
      <c r="O7" s="3" t="str">
        <f t="shared" si="6"/>
        <v>AAA</v>
      </c>
    </row>
    <row r="8" spans="1:15" x14ac:dyDescent="0.35">
      <c r="A8" t="s">
        <v>4</v>
      </c>
      <c r="B8" t="s">
        <v>5</v>
      </c>
      <c r="C8" s="3">
        <v>237</v>
      </c>
      <c r="D8" s="4">
        <v>181085.61</v>
      </c>
      <c r="E8" s="4">
        <v>44721.64</v>
      </c>
      <c r="F8" s="5">
        <f t="shared" si="0"/>
        <v>2.2861001253978972E-2</v>
      </c>
      <c r="G8" s="6">
        <v>0.52078711295456737</v>
      </c>
      <c r="H8" s="3" t="str">
        <f t="shared" si="1"/>
        <v>A</v>
      </c>
      <c r="I8" s="5">
        <f t="shared" si="2"/>
        <v>2.3805145977557601E-2</v>
      </c>
      <c r="J8" s="6">
        <v>0.41716248109037968</v>
      </c>
      <c r="K8" s="3" t="str">
        <f t="shared" si="3"/>
        <v>A</v>
      </c>
      <c r="L8" s="5">
        <f t="shared" si="4"/>
        <v>3.0252515153759169E-2</v>
      </c>
      <c r="M8" s="6">
        <f t="shared" si="7"/>
        <v>0.16829831804145748</v>
      </c>
      <c r="N8" s="3" t="str">
        <f t="shared" si="5"/>
        <v>A</v>
      </c>
      <c r="O8" s="3" t="str">
        <f t="shared" si="6"/>
        <v>AAA</v>
      </c>
    </row>
    <row r="9" spans="1:15" x14ac:dyDescent="0.35">
      <c r="A9" t="s">
        <v>17</v>
      </c>
      <c r="B9" t="s">
        <v>11</v>
      </c>
      <c r="C9" s="3">
        <v>300</v>
      </c>
      <c r="D9" s="4">
        <v>210168.17</v>
      </c>
      <c r="E9" s="4">
        <v>43178.02</v>
      </c>
      <c r="F9" s="5">
        <f t="shared" si="0"/>
        <v>2.8937976270859457E-2</v>
      </c>
      <c r="G9" s="6">
        <v>2.8937976270859457E-2</v>
      </c>
      <c r="H9" s="3" t="str">
        <f t="shared" si="1"/>
        <v>A</v>
      </c>
      <c r="I9" s="5">
        <f t="shared" si="2"/>
        <v>2.7628280163653769E-2</v>
      </c>
      <c r="J9" s="6">
        <v>0.21614213879962801</v>
      </c>
      <c r="K9" s="3" t="str">
        <f t="shared" si="3"/>
        <v>A</v>
      </c>
      <c r="L9" s="5">
        <f t="shared" si="4"/>
        <v>2.9208314014408158E-2</v>
      </c>
      <c r="M9" s="6">
        <f t="shared" si="7"/>
        <v>0.19750663205586563</v>
      </c>
      <c r="N9" s="3" t="str">
        <f t="shared" si="5"/>
        <v>A</v>
      </c>
      <c r="O9" s="3" t="str">
        <f t="shared" si="6"/>
        <v>AAA</v>
      </c>
    </row>
    <row r="10" spans="1:15" x14ac:dyDescent="0.35">
      <c r="A10" t="s">
        <v>32</v>
      </c>
      <c r="B10" t="s">
        <v>5</v>
      </c>
      <c r="C10" s="3">
        <v>290</v>
      </c>
      <c r="D10" s="4">
        <v>202260.7</v>
      </c>
      <c r="E10" s="4">
        <v>42932.19</v>
      </c>
      <c r="F10" s="5">
        <f t="shared" si="0"/>
        <v>2.7973377061830808E-2</v>
      </c>
      <c r="G10" s="6">
        <v>0.20034725571525031</v>
      </c>
      <c r="H10" s="3" t="str">
        <f t="shared" si="1"/>
        <v>A</v>
      </c>
      <c r="I10" s="5">
        <f t="shared" si="2"/>
        <v>2.6588780240588888E-2</v>
      </c>
      <c r="J10" s="6">
        <v>0.29645522503355209</v>
      </c>
      <c r="K10" s="3" t="str">
        <f t="shared" si="3"/>
        <v>A</v>
      </c>
      <c r="L10" s="5">
        <f t="shared" si="4"/>
        <v>2.9042019222887801E-2</v>
      </c>
      <c r="M10" s="6">
        <f t="shared" si="7"/>
        <v>0.22654865127875343</v>
      </c>
      <c r="N10" s="3" t="str">
        <f t="shared" si="5"/>
        <v>A</v>
      </c>
      <c r="O10" s="3" t="str">
        <f t="shared" si="6"/>
        <v>AAA</v>
      </c>
    </row>
    <row r="11" spans="1:15" x14ac:dyDescent="0.35">
      <c r="A11" t="s">
        <v>12</v>
      </c>
      <c r="B11" t="s">
        <v>11</v>
      </c>
      <c r="C11" s="3">
        <v>299</v>
      </c>
      <c r="D11" s="4">
        <v>181098.7</v>
      </c>
      <c r="E11" s="4">
        <v>42575.99</v>
      </c>
      <c r="F11" s="5">
        <f t="shared" si="0"/>
        <v>2.8841516349956593E-2</v>
      </c>
      <c r="G11" s="6">
        <v>8.6621008970772642E-2</v>
      </c>
      <c r="H11" s="3" t="str">
        <f t="shared" si="1"/>
        <v>A</v>
      </c>
      <c r="I11" s="5">
        <f t="shared" si="2"/>
        <v>2.3806866762333637E-2</v>
      </c>
      <c r="J11" s="6">
        <v>0.39335733511282206</v>
      </c>
      <c r="K11" s="3" t="str">
        <f t="shared" si="3"/>
        <v>A</v>
      </c>
      <c r="L11" s="5">
        <f t="shared" si="4"/>
        <v>2.8801063258442641E-2</v>
      </c>
      <c r="M11" s="6">
        <f t="shared" si="7"/>
        <v>0.25534971453719607</v>
      </c>
      <c r="N11" s="3" t="str">
        <f t="shared" si="5"/>
        <v>A</v>
      </c>
      <c r="O11" s="3" t="str">
        <f t="shared" si="6"/>
        <v>AAA</v>
      </c>
    </row>
    <row r="12" spans="1:15" x14ac:dyDescent="0.35">
      <c r="A12" t="s">
        <v>25</v>
      </c>
      <c r="B12" t="s">
        <v>5</v>
      </c>
      <c r="C12" s="3">
        <v>298</v>
      </c>
      <c r="D12" s="4">
        <v>260866.73</v>
      </c>
      <c r="E12" s="4">
        <v>41699.440000000002</v>
      </c>
      <c r="F12" s="5">
        <f t="shared" si="0"/>
        <v>2.8745056429053728E-2</v>
      </c>
      <c r="G12" s="6">
        <v>0.11536606539982637</v>
      </c>
      <c r="H12" s="3" t="str">
        <f t="shared" si="1"/>
        <v>A</v>
      </c>
      <c r="I12" s="5">
        <f t="shared" si="2"/>
        <v>3.4293009744607014E-2</v>
      </c>
      <c r="J12" s="6">
        <v>3.4293009744607014E-2</v>
      </c>
      <c r="K12" s="3" t="str">
        <f t="shared" si="3"/>
        <v>A</v>
      </c>
      <c r="L12" s="5">
        <f t="shared" si="4"/>
        <v>2.8208110000064204E-2</v>
      </c>
      <c r="M12" s="6">
        <f t="shared" si="7"/>
        <v>0.28355782453726025</v>
      </c>
      <c r="N12" s="3" t="str">
        <f t="shared" si="5"/>
        <v>A</v>
      </c>
      <c r="O12" s="3" t="str">
        <f t="shared" si="6"/>
        <v>AAA</v>
      </c>
    </row>
    <row r="13" spans="1:15" x14ac:dyDescent="0.35">
      <c r="A13" t="s">
        <v>17</v>
      </c>
      <c r="B13" t="s">
        <v>5</v>
      </c>
      <c r="C13" s="3">
        <v>296</v>
      </c>
      <c r="D13" s="4">
        <v>191530.85</v>
      </c>
      <c r="E13" s="4">
        <v>40142.239999999998</v>
      </c>
      <c r="F13" s="5">
        <f t="shared" si="0"/>
        <v>2.8552136587247999E-2</v>
      </c>
      <c r="G13" s="6">
        <v>0.14391820198707436</v>
      </c>
      <c r="H13" s="3" t="str">
        <f t="shared" si="1"/>
        <v>A</v>
      </c>
      <c r="I13" s="5">
        <f t="shared" si="2"/>
        <v>2.5178255983209757E-2</v>
      </c>
      <c r="J13" s="6">
        <v>0.32163348101676187</v>
      </c>
      <c r="K13" s="3" t="str">
        <f t="shared" si="3"/>
        <v>A</v>
      </c>
      <c r="L13" s="5">
        <f t="shared" si="4"/>
        <v>2.7154722499126538E-2</v>
      </c>
      <c r="M13" s="6">
        <f t="shared" si="7"/>
        <v>0.31071254703638679</v>
      </c>
      <c r="N13" s="3" t="str">
        <f t="shared" si="5"/>
        <v>A</v>
      </c>
      <c r="O13" s="3" t="str">
        <f t="shared" si="6"/>
        <v>AAA</v>
      </c>
    </row>
    <row r="14" spans="1:15" x14ac:dyDescent="0.35">
      <c r="A14" t="s">
        <v>29</v>
      </c>
      <c r="B14" t="s">
        <v>3</v>
      </c>
      <c r="C14" s="3">
        <v>256</v>
      </c>
      <c r="D14" s="4">
        <v>169175.02</v>
      </c>
      <c r="E14" s="4">
        <v>39220.33</v>
      </c>
      <c r="F14" s="5">
        <f t="shared" si="0"/>
        <v>2.4693739751133405E-2</v>
      </c>
      <c r="G14" s="6">
        <v>0.35622648789427996</v>
      </c>
      <c r="H14" s="3" t="str">
        <f t="shared" si="1"/>
        <v>A</v>
      </c>
      <c r="I14" s="5">
        <f t="shared" si="2"/>
        <v>2.2239404041305252E-2</v>
      </c>
      <c r="J14" s="6">
        <v>0.46278243108085104</v>
      </c>
      <c r="K14" s="3" t="str">
        <f t="shared" si="3"/>
        <v>A</v>
      </c>
      <c r="L14" s="5">
        <f t="shared" si="4"/>
        <v>2.6531084898953512E-2</v>
      </c>
      <c r="M14" s="6">
        <f t="shared" si="7"/>
        <v>0.33724363193534029</v>
      </c>
      <c r="N14" s="3" t="str">
        <f t="shared" si="5"/>
        <v>A</v>
      </c>
      <c r="O14" s="3" t="str">
        <f t="shared" si="6"/>
        <v>AAA</v>
      </c>
    </row>
    <row r="15" spans="1:15" x14ac:dyDescent="0.35">
      <c r="A15" t="s">
        <v>16</v>
      </c>
      <c r="B15" t="s">
        <v>11</v>
      </c>
      <c r="C15" s="3">
        <v>247</v>
      </c>
      <c r="D15" s="4">
        <v>203514.93</v>
      </c>
      <c r="E15" s="4">
        <v>37977.17</v>
      </c>
      <c r="F15" s="5">
        <f t="shared" si="0"/>
        <v>2.3825600463007621E-2</v>
      </c>
      <c r="G15" s="6">
        <v>0.42828204880872001</v>
      </c>
      <c r="H15" s="3" t="str">
        <f t="shared" si="1"/>
        <v>A</v>
      </c>
      <c r="I15" s="5">
        <f t="shared" si="2"/>
        <v>2.6753658765389571E-2</v>
      </c>
      <c r="J15" s="6">
        <v>0.26986644479296323</v>
      </c>
      <c r="K15" s="3" t="str">
        <f t="shared" si="3"/>
        <v>A</v>
      </c>
      <c r="L15" s="5">
        <f t="shared" si="4"/>
        <v>2.5690133700863566E-2</v>
      </c>
      <c r="M15" s="6">
        <f t="shared" si="7"/>
        <v>0.36293376563620383</v>
      </c>
      <c r="N15" s="3" t="str">
        <f t="shared" si="5"/>
        <v>A</v>
      </c>
      <c r="O15" s="3" t="str">
        <f t="shared" si="6"/>
        <v>AAA</v>
      </c>
    </row>
    <row r="16" spans="1:15" x14ac:dyDescent="0.35">
      <c r="A16" t="s">
        <v>20</v>
      </c>
      <c r="B16" t="s">
        <v>5</v>
      </c>
      <c r="C16" s="3">
        <v>278</v>
      </c>
      <c r="D16" s="4">
        <v>220630.55</v>
      </c>
      <c r="E16" s="4">
        <v>35165.83</v>
      </c>
      <c r="F16" s="5">
        <f t="shared" si="0"/>
        <v>2.6815858010996431E-2</v>
      </c>
      <c r="G16" s="6">
        <v>0.22716311372624673</v>
      </c>
      <c r="H16" s="3" t="str">
        <f t="shared" si="1"/>
        <v>A</v>
      </c>
      <c r="I16" s="5">
        <f t="shared" si="2"/>
        <v>2.9003643358844589E-2</v>
      </c>
      <c r="J16" s="6">
        <v>0.18851385863597425</v>
      </c>
      <c r="K16" s="3" t="str">
        <f t="shared" si="3"/>
        <v>A</v>
      </c>
      <c r="L16" s="5">
        <f t="shared" si="4"/>
        <v>2.3788367442909492E-2</v>
      </c>
      <c r="M16" s="6">
        <f t="shared" si="7"/>
        <v>0.38672213307911329</v>
      </c>
      <c r="N16" s="3" t="str">
        <f t="shared" si="5"/>
        <v>A</v>
      </c>
      <c r="O16" s="3" t="str">
        <f t="shared" si="6"/>
        <v>AAA</v>
      </c>
    </row>
    <row r="17" spans="1:15" x14ac:dyDescent="0.35">
      <c r="A17" t="s">
        <v>12</v>
      </c>
      <c r="B17" t="s">
        <v>5</v>
      </c>
      <c r="C17" s="3">
        <v>238</v>
      </c>
      <c r="D17" s="4">
        <v>159226.12</v>
      </c>
      <c r="E17" s="4">
        <v>35002.160000000003</v>
      </c>
      <c r="F17" s="5">
        <f t="shared" si="0"/>
        <v>2.2957461174881837E-2</v>
      </c>
      <c r="G17" s="6">
        <v>0.49792611170058843</v>
      </c>
      <c r="H17" s="3" t="str">
        <f t="shared" si="1"/>
        <v>A</v>
      </c>
      <c r="I17" s="5">
        <f t="shared" si="2"/>
        <v>2.0931541882538894E-2</v>
      </c>
      <c r="J17" s="6">
        <v>0.59060566064758913</v>
      </c>
      <c r="K17" s="3" t="str">
        <f t="shared" si="3"/>
        <v>A</v>
      </c>
      <c r="L17" s="5">
        <f t="shared" si="4"/>
        <v>2.3677650815450934E-2</v>
      </c>
      <c r="M17" s="6">
        <f t="shared" si="7"/>
        <v>0.41039978389456422</v>
      </c>
      <c r="N17" s="3" t="str">
        <f t="shared" si="5"/>
        <v>A</v>
      </c>
      <c r="O17" s="3" t="str">
        <f t="shared" si="6"/>
        <v>AAA</v>
      </c>
    </row>
    <row r="18" spans="1:15" x14ac:dyDescent="0.35">
      <c r="A18" t="s">
        <v>15</v>
      </c>
      <c r="B18" t="s">
        <v>3</v>
      </c>
      <c r="C18" s="3">
        <v>210</v>
      </c>
      <c r="D18" s="4">
        <v>177855.68</v>
      </c>
      <c r="E18" s="4">
        <v>34876.370000000003</v>
      </c>
      <c r="F18" s="5">
        <f t="shared" si="0"/>
        <v>2.025658338960162E-2</v>
      </c>
      <c r="G18" s="6">
        <v>0.58531880003858394</v>
      </c>
      <c r="H18" s="3" t="str">
        <f t="shared" si="1"/>
        <v>A</v>
      </c>
      <c r="I18" s="5">
        <f t="shared" si="2"/>
        <v>2.3380545949166099E-2</v>
      </c>
      <c r="J18" s="6">
        <v>0.44054302703954579</v>
      </c>
      <c r="K18" s="3" t="str">
        <f t="shared" si="3"/>
        <v>A</v>
      </c>
      <c r="L18" s="5">
        <f t="shared" si="4"/>
        <v>2.3592558589826128E-2</v>
      </c>
      <c r="M18" s="6">
        <f t="shared" si="7"/>
        <v>0.43399234248439034</v>
      </c>
      <c r="N18" s="3" t="str">
        <f t="shared" si="5"/>
        <v>A</v>
      </c>
      <c r="O18" s="3" t="str">
        <f t="shared" si="6"/>
        <v>AAA</v>
      </c>
    </row>
    <row r="19" spans="1:15" x14ac:dyDescent="0.35">
      <c r="A19" t="s">
        <v>18</v>
      </c>
      <c r="B19" t="s">
        <v>5</v>
      </c>
      <c r="C19" s="3">
        <v>295</v>
      </c>
      <c r="D19" s="4">
        <v>182621.02</v>
      </c>
      <c r="E19" s="4">
        <v>34388.97</v>
      </c>
      <c r="F19" s="5">
        <f t="shared" si="0"/>
        <v>2.8455676666345135E-2</v>
      </c>
      <c r="G19" s="6">
        <v>0.17237387865341949</v>
      </c>
      <c r="H19" s="3" t="str">
        <f t="shared" si="1"/>
        <v>A</v>
      </c>
      <c r="I19" s="5">
        <f t="shared" si="2"/>
        <v>2.4006987853261594E-2</v>
      </c>
      <c r="J19" s="6">
        <v>0.34564046887002348</v>
      </c>
      <c r="K19" s="3" t="str">
        <f t="shared" si="3"/>
        <v>A</v>
      </c>
      <c r="L19" s="5">
        <f t="shared" si="4"/>
        <v>2.326285073729786E-2</v>
      </c>
      <c r="M19" s="6">
        <f t="shared" si="7"/>
        <v>0.45725519322168817</v>
      </c>
      <c r="N19" s="3" t="str">
        <f t="shared" si="5"/>
        <v>A</v>
      </c>
      <c r="O19" s="3" t="str">
        <f t="shared" si="6"/>
        <v>AAA</v>
      </c>
    </row>
    <row r="20" spans="1:15" x14ac:dyDescent="0.35">
      <c r="A20" t="s">
        <v>37</v>
      </c>
      <c r="B20" t="s">
        <v>11</v>
      </c>
      <c r="C20" s="3">
        <v>184</v>
      </c>
      <c r="D20" s="4">
        <v>138545.57999999999</v>
      </c>
      <c r="E20" s="4">
        <v>33135.620000000003</v>
      </c>
      <c r="F20" s="5">
        <f t="shared" si="0"/>
        <v>1.7748625446127136E-2</v>
      </c>
      <c r="G20" s="6">
        <v>0.73502459727983016</v>
      </c>
      <c r="H20" s="3" t="str">
        <f t="shared" si="1"/>
        <v>A</v>
      </c>
      <c r="I20" s="5">
        <f t="shared" si="2"/>
        <v>1.8212920156634119E-2</v>
      </c>
      <c r="J20" s="6">
        <v>0.72511231443263724</v>
      </c>
      <c r="K20" s="3" t="str">
        <f t="shared" si="3"/>
        <v>A</v>
      </c>
      <c r="L20" s="5">
        <f t="shared" si="4"/>
        <v>2.2415006385705118E-2</v>
      </c>
      <c r="M20" s="6">
        <f t="shared" si="7"/>
        <v>0.47967019960739327</v>
      </c>
      <c r="N20" s="3" t="str">
        <f t="shared" si="5"/>
        <v>A</v>
      </c>
      <c r="O20" s="3" t="str">
        <f t="shared" si="6"/>
        <v>AAA</v>
      </c>
    </row>
    <row r="21" spans="1:15" x14ac:dyDescent="0.35">
      <c r="A21" t="s">
        <v>44</v>
      </c>
      <c r="B21" t="s">
        <v>3</v>
      </c>
      <c r="C21" s="3">
        <v>184</v>
      </c>
      <c r="D21" s="4">
        <v>143855.19</v>
      </c>
      <c r="E21" s="4">
        <v>32777.919999999998</v>
      </c>
      <c r="F21" s="5">
        <f t="shared" si="0"/>
        <v>1.7748625446127136E-2</v>
      </c>
      <c r="G21" s="6">
        <v>0.75277322272595726</v>
      </c>
      <c r="H21" s="3" t="str">
        <f t="shared" si="1"/>
        <v>A</v>
      </c>
      <c r="I21" s="5">
        <f t="shared" si="2"/>
        <v>1.8910910687929786E-2</v>
      </c>
      <c r="J21" s="6">
        <v>0.66952595893291811</v>
      </c>
      <c r="K21" s="3" t="str">
        <f t="shared" si="3"/>
        <v>A</v>
      </c>
      <c r="L21" s="5">
        <f t="shared" si="4"/>
        <v>2.2173035727417547E-2</v>
      </c>
      <c r="M21" s="6">
        <f t="shared" si="7"/>
        <v>0.50184323533481079</v>
      </c>
      <c r="N21" s="3" t="str">
        <f t="shared" si="5"/>
        <v>A</v>
      </c>
      <c r="O21" s="3" t="str">
        <f t="shared" si="6"/>
        <v>AAA</v>
      </c>
    </row>
    <row r="22" spans="1:15" x14ac:dyDescent="0.35">
      <c r="A22" t="s">
        <v>6</v>
      </c>
      <c r="B22" t="s">
        <v>3</v>
      </c>
      <c r="C22" s="3">
        <v>207</v>
      </c>
      <c r="D22" s="4">
        <v>160063.42000000001</v>
      </c>
      <c r="E22" s="4">
        <v>32299.97</v>
      </c>
      <c r="F22" s="5">
        <f t="shared" si="0"/>
        <v>1.9967203626893026E-2</v>
      </c>
      <c r="G22" s="6">
        <v>0.62534966721327279</v>
      </c>
      <c r="H22" s="3" t="str">
        <f t="shared" si="1"/>
        <v>A</v>
      </c>
      <c r="I22" s="5">
        <f t="shared" si="2"/>
        <v>2.1041611637540463E-2</v>
      </c>
      <c r="J22" s="6">
        <v>0.56967411876505025</v>
      </c>
      <c r="K22" s="3" t="str">
        <f t="shared" si="3"/>
        <v>A</v>
      </c>
      <c r="L22" s="5">
        <f t="shared" si="4"/>
        <v>2.1849720446096489E-2</v>
      </c>
      <c r="M22" s="6">
        <f t="shared" si="7"/>
        <v>0.52369295578090724</v>
      </c>
      <c r="N22" s="3" t="str">
        <f t="shared" si="5"/>
        <v>A</v>
      </c>
      <c r="O22" s="3" t="str">
        <f t="shared" si="6"/>
        <v>AAA</v>
      </c>
    </row>
    <row r="23" spans="1:15" x14ac:dyDescent="0.35">
      <c r="A23" t="s">
        <v>14</v>
      </c>
      <c r="B23" t="s">
        <v>5</v>
      </c>
      <c r="C23" s="3">
        <v>245</v>
      </c>
      <c r="D23" s="4">
        <v>205165.56</v>
      </c>
      <c r="E23" s="4">
        <v>32257.56</v>
      </c>
      <c r="F23" s="5">
        <f t="shared" si="0"/>
        <v>2.3632680621201892E-2</v>
      </c>
      <c r="G23" s="6">
        <v>0.45191472942992189</v>
      </c>
      <c r="H23" s="3" t="str">
        <f t="shared" si="1"/>
        <v>A</v>
      </c>
      <c r="I23" s="5">
        <f t="shared" si="2"/>
        <v>2.6970647227945684E-2</v>
      </c>
      <c r="J23" s="6">
        <v>0.24311278602757369</v>
      </c>
      <c r="K23" s="3" t="str">
        <f t="shared" si="3"/>
        <v>A</v>
      </c>
      <c r="L23" s="5">
        <f t="shared" si="4"/>
        <v>2.1821031668858647E-2</v>
      </c>
      <c r="M23" s="6">
        <f t="shared" si="7"/>
        <v>0.54551398744976587</v>
      </c>
      <c r="N23" s="3" t="str">
        <f t="shared" si="5"/>
        <v>A</v>
      </c>
      <c r="O23" s="3" t="str">
        <f t="shared" si="6"/>
        <v>AAA</v>
      </c>
    </row>
    <row r="24" spans="1:15" x14ac:dyDescent="0.35">
      <c r="A24" t="s">
        <v>7</v>
      </c>
      <c r="B24" t="s">
        <v>5</v>
      </c>
      <c r="C24" s="3">
        <v>270</v>
      </c>
      <c r="D24" s="4">
        <v>181883.23</v>
      </c>
      <c r="E24" s="4">
        <v>31917.93</v>
      </c>
      <c r="F24" s="5">
        <f t="shared" si="0"/>
        <v>2.6044178643773511E-2</v>
      </c>
      <c r="G24" s="6">
        <v>0.30587440918298447</v>
      </c>
      <c r="H24" s="3" t="str">
        <f t="shared" si="1"/>
        <v>A</v>
      </c>
      <c r="I24" s="5">
        <f t="shared" si="2"/>
        <v>2.3909999480464985E-2</v>
      </c>
      <c r="J24" s="6">
        <v>0.36955046835048844</v>
      </c>
      <c r="K24" s="3" t="str">
        <f t="shared" si="3"/>
        <v>A</v>
      </c>
      <c r="L24" s="5">
        <f t="shared" si="4"/>
        <v>2.1591284689059353E-2</v>
      </c>
      <c r="M24" s="6">
        <f t="shared" si="7"/>
        <v>0.56710527213882522</v>
      </c>
      <c r="N24" s="3" t="str">
        <f t="shared" si="5"/>
        <v>A</v>
      </c>
      <c r="O24" s="3" t="str">
        <f t="shared" si="6"/>
        <v>AAA</v>
      </c>
    </row>
    <row r="25" spans="1:15" x14ac:dyDescent="0.35">
      <c r="A25" t="s">
        <v>17</v>
      </c>
      <c r="B25" t="s">
        <v>11</v>
      </c>
      <c r="C25" s="3">
        <v>192</v>
      </c>
      <c r="D25" s="4">
        <v>142742.38</v>
      </c>
      <c r="E25" s="4">
        <v>29952.77</v>
      </c>
      <c r="F25" s="5">
        <f t="shared" si="0"/>
        <v>1.8520304813350052E-2</v>
      </c>
      <c r="G25" s="6">
        <v>0.64386997202662288</v>
      </c>
      <c r="H25" s="3" t="str">
        <f t="shared" si="1"/>
        <v>A</v>
      </c>
      <c r="I25" s="5">
        <f t="shared" si="2"/>
        <v>1.8764622948692605E-2</v>
      </c>
      <c r="J25" s="6">
        <v>0.68829058188161074</v>
      </c>
      <c r="K25" s="3" t="str">
        <f t="shared" si="3"/>
        <v>A</v>
      </c>
      <c r="L25" s="5">
        <f t="shared" si="4"/>
        <v>2.0261927521487651E-2</v>
      </c>
      <c r="M25" s="6">
        <f t="shared" si="7"/>
        <v>0.58736719966031292</v>
      </c>
      <c r="N25" s="3" t="str">
        <f t="shared" si="5"/>
        <v>A</v>
      </c>
      <c r="O25" s="3" t="str">
        <f t="shared" si="6"/>
        <v>AAA</v>
      </c>
    </row>
    <row r="26" spans="1:15" x14ac:dyDescent="0.35">
      <c r="A26" t="s">
        <v>42</v>
      </c>
      <c r="B26" t="s">
        <v>5</v>
      </c>
      <c r="C26" s="3">
        <v>180</v>
      </c>
      <c r="D26" s="4">
        <v>141557.13</v>
      </c>
      <c r="E26" s="4">
        <v>28820.23</v>
      </c>
      <c r="F26" s="5">
        <f t="shared" si="0"/>
        <v>1.7362785762515674E-2</v>
      </c>
      <c r="G26" s="6">
        <v>0.78749879425098868</v>
      </c>
      <c r="H26" s="3" t="str">
        <f t="shared" si="1"/>
        <v>A</v>
      </c>
      <c r="I26" s="5">
        <f t="shared" si="2"/>
        <v>1.8608812394392348E-2</v>
      </c>
      <c r="J26" s="6">
        <v>0.70689939427600312</v>
      </c>
      <c r="K26" s="3" t="str">
        <f t="shared" si="3"/>
        <v>A</v>
      </c>
      <c r="L26" s="5">
        <f t="shared" si="4"/>
        <v>1.9495806611962901E-2</v>
      </c>
      <c r="M26" s="6">
        <f t="shared" si="7"/>
        <v>0.60686300627227585</v>
      </c>
      <c r="N26" s="3" t="str">
        <f t="shared" si="5"/>
        <v>A</v>
      </c>
      <c r="O26" s="3" t="str">
        <f t="shared" si="6"/>
        <v>AAA</v>
      </c>
    </row>
    <row r="27" spans="1:15" x14ac:dyDescent="0.35">
      <c r="A27" t="s">
        <v>33</v>
      </c>
      <c r="B27" t="s">
        <v>5</v>
      </c>
      <c r="C27" s="3">
        <v>190</v>
      </c>
      <c r="D27" s="4">
        <v>153580.38</v>
      </c>
      <c r="E27" s="4">
        <v>28816.36</v>
      </c>
      <c r="F27" s="5">
        <f t="shared" si="0"/>
        <v>1.8327384971544323E-2</v>
      </c>
      <c r="G27" s="6">
        <v>0.68071766181151727</v>
      </c>
      <c r="H27" s="3" t="str">
        <f t="shared" si="1"/>
        <v>A</v>
      </c>
      <c r="I27" s="5">
        <f t="shared" si="2"/>
        <v>2.0189364385103645E-2</v>
      </c>
      <c r="J27" s="6">
        <v>0.63151476315485788</v>
      </c>
      <c r="K27" s="3" t="str">
        <f t="shared" si="3"/>
        <v>A</v>
      </c>
      <c r="L27" s="5">
        <f t="shared" si="4"/>
        <v>1.9493188701849476E-2</v>
      </c>
      <c r="M27" s="6">
        <f t="shared" si="7"/>
        <v>0.62635619497412531</v>
      </c>
      <c r="N27" s="3" t="str">
        <f t="shared" si="5"/>
        <v>A</v>
      </c>
      <c r="O27" s="3" t="str">
        <f t="shared" si="6"/>
        <v>AAA</v>
      </c>
    </row>
    <row r="28" spans="1:15" x14ac:dyDescent="0.35">
      <c r="A28" t="s">
        <v>21</v>
      </c>
      <c r="B28" t="s">
        <v>5</v>
      </c>
      <c r="C28" s="3">
        <v>251</v>
      </c>
      <c r="D28" s="4">
        <v>163927.03</v>
      </c>
      <c r="E28" s="4">
        <v>28624.22</v>
      </c>
      <c r="F28" s="5">
        <f t="shared" si="0"/>
        <v>2.4211440146619079E-2</v>
      </c>
      <c r="G28" s="6">
        <v>0.38043792804089904</v>
      </c>
      <c r="H28" s="3" t="str">
        <f t="shared" si="1"/>
        <v>A</v>
      </c>
      <c r="I28" s="5">
        <f t="shared" si="2"/>
        <v>2.1549513949879643E-2</v>
      </c>
      <c r="J28" s="6">
        <v>0.50609010117689979</v>
      </c>
      <c r="K28" s="3" t="str">
        <f t="shared" si="3"/>
        <v>A</v>
      </c>
      <c r="L28" s="5">
        <f t="shared" si="4"/>
        <v>1.9363213185261907E-2</v>
      </c>
      <c r="M28" s="6">
        <f t="shared" si="7"/>
        <v>0.64571940815938722</v>
      </c>
      <c r="N28" s="3" t="str">
        <f t="shared" si="5"/>
        <v>A</v>
      </c>
      <c r="O28" s="3" t="str">
        <f t="shared" si="6"/>
        <v>AAA</v>
      </c>
    </row>
    <row r="29" spans="1:15" x14ac:dyDescent="0.35">
      <c r="A29" t="s">
        <v>8</v>
      </c>
      <c r="B29" t="s">
        <v>5</v>
      </c>
      <c r="C29" s="3">
        <v>150</v>
      </c>
      <c r="D29" s="4">
        <v>131506.26999999999</v>
      </c>
      <c r="E29" s="4">
        <v>27394.73</v>
      </c>
      <c r="F29" s="5">
        <f t="shared" si="0"/>
        <v>1.4468988135429729E-2</v>
      </c>
      <c r="G29" s="6">
        <v>0.85029420275875367</v>
      </c>
      <c r="H29" s="3" t="str">
        <f t="shared" si="1"/>
        <v>B</v>
      </c>
      <c r="I29" s="5">
        <f t="shared" si="2"/>
        <v>1.7287546781404133E-2</v>
      </c>
      <c r="J29" s="6">
        <v>0.74239986121404133</v>
      </c>
      <c r="K29" s="3" t="str">
        <f t="shared" si="3"/>
        <v>A</v>
      </c>
      <c r="L29" s="5">
        <f t="shared" si="4"/>
        <v>1.8531509230389157E-2</v>
      </c>
      <c r="M29" s="6">
        <f t="shared" si="7"/>
        <v>0.66425091738977637</v>
      </c>
      <c r="N29" s="3" t="str">
        <f t="shared" si="5"/>
        <v>A</v>
      </c>
      <c r="O29" s="3" t="str">
        <f t="shared" si="6"/>
        <v>BAA</v>
      </c>
    </row>
    <row r="30" spans="1:15" x14ac:dyDescent="0.35">
      <c r="A30" t="s">
        <v>27</v>
      </c>
      <c r="B30" t="s">
        <v>3</v>
      </c>
      <c r="C30" s="3">
        <v>239</v>
      </c>
      <c r="D30" s="4">
        <v>161288.95000000001</v>
      </c>
      <c r="E30" s="4">
        <v>26776.48</v>
      </c>
      <c r="F30" s="5">
        <f t="shared" si="0"/>
        <v>2.3053921095784701E-2</v>
      </c>
      <c r="G30" s="6">
        <v>0.47496865052570658</v>
      </c>
      <c r="H30" s="3" t="str">
        <f t="shared" si="1"/>
        <v>A</v>
      </c>
      <c r="I30" s="5">
        <f t="shared" si="2"/>
        <v>2.1202717318714554E-2</v>
      </c>
      <c r="J30" s="6">
        <v>0.54863250712750977</v>
      </c>
      <c r="K30" s="3" t="str">
        <f t="shared" si="3"/>
        <v>A</v>
      </c>
      <c r="L30" s="5">
        <f t="shared" si="4"/>
        <v>1.811328625167434E-2</v>
      </c>
      <c r="M30" s="6">
        <f t="shared" si="7"/>
        <v>0.68236420364145067</v>
      </c>
      <c r="N30" s="3" t="str">
        <f t="shared" si="5"/>
        <v>A</v>
      </c>
      <c r="O30" s="3" t="str">
        <f t="shared" si="6"/>
        <v>AAA</v>
      </c>
    </row>
    <row r="31" spans="1:15" x14ac:dyDescent="0.35">
      <c r="A31" t="s">
        <v>13</v>
      </c>
      <c r="B31" t="s">
        <v>11</v>
      </c>
      <c r="C31" s="3">
        <v>232</v>
      </c>
      <c r="D31" s="4">
        <v>162330.89000000001</v>
      </c>
      <c r="E31" s="4">
        <v>26449.3</v>
      </c>
      <c r="F31" s="5">
        <f t="shared" si="0"/>
        <v>2.2378701649464646E-2</v>
      </c>
      <c r="G31" s="6">
        <v>0.54316581460403202</v>
      </c>
      <c r="H31" s="3" t="str">
        <f t="shared" si="1"/>
        <v>A</v>
      </c>
      <c r="I31" s="5">
        <f t="shared" si="2"/>
        <v>2.1339688631895413E-2</v>
      </c>
      <c r="J31" s="6">
        <v>0.52742978980879518</v>
      </c>
      <c r="K31" s="3" t="str">
        <f t="shared" si="3"/>
        <v>A</v>
      </c>
      <c r="L31" s="5">
        <f t="shared" si="4"/>
        <v>1.789196123076708E-2</v>
      </c>
      <c r="M31" s="6">
        <f t="shared" si="7"/>
        <v>0.70025616487221776</v>
      </c>
      <c r="N31" s="3" t="str">
        <f t="shared" si="5"/>
        <v>A</v>
      </c>
      <c r="O31" s="3" t="str">
        <f t="shared" si="6"/>
        <v>AAA</v>
      </c>
    </row>
    <row r="32" spans="1:15" x14ac:dyDescent="0.35">
      <c r="A32" t="s">
        <v>41</v>
      </c>
      <c r="B32" t="s">
        <v>5</v>
      </c>
      <c r="C32" s="3">
        <v>249</v>
      </c>
      <c r="D32" s="4">
        <v>165514.17000000001</v>
      </c>
      <c r="E32" s="4">
        <v>26101.97</v>
      </c>
      <c r="F32" s="5">
        <f t="shared" si="0"/>
        <v>2.401852030481335E-2</v>
      </c>
      <c r="G32" s="6">
        <v>0.40445644834571237</v>
      </c>
      <c r="H32" s="3" t="str">
        <f t="shared" si="1"/>
        <v>A</v>
      </c>
      <c r="I32" s="5">
        <f t="shared" si="2"/>
        <v>2.1758156146169126E-2</v>
      </c>
      <c r="J32" s="6">
        <v>0.48454058722702015</v>
      </c>
      <c r="K32" s="3" t="str">
        <f t="shared" si="3"/>
        <v>A</v>
      </c>
      <c r="L32" s="5">
        <f t="shared" si="4"/>
        <v>1.7657005489243399E-2</v>
      </c>
      <c r="M32" s="6">
        <f t="shared" si="7"/>
        <v>0.71791317036146118</v>
      </c>
      <c r="N32" s="3" t="str">
        <f t="shared" si="5"/>
        <v>A</v>
      </c>
      <c r="O32" s="3" t="str">
        <f t="shared" si="6"/>
        <v>AAA</v>
      </c>
    </row>
    <row r="33" spans="1:15" x14ac:dyDescent="0.35">
      <c r="A33" t="s">
        <v>26</v>
      </c>
      <c r="B33" t="s">
        <v>3</v>
      </c>
      <c r="C33" s="3">
        <v>227</v>
      </c>
      <c r="D33" s="4">
        <v>145295.76</v>
      </c>
      <c r="E33" s="4">
        <v>25914.16</v>
      </c>
      <c r="F33" s="5">
        <f t="shared" si="0"/>
        <v>2.1896402044950324E-2</v>
      </c>
      <c r="G33" s="6">
        <v>0.56506221664898237</v>
      </c>
      <c r="H33" s="3" t="str">
        <f t="shared" si="1"/>
        <v>A</v>
      </c>
      <c r="I33" s="5">
        <f t="shared" si="2"/>
        <v>1.9100285090130436E-2</v>
      </c>
      <c r="J33" s="6">
        <v>0.65061504824498828</v>
      </c>
      <c r="K33" s="3" t="str">
        <f t="shared" si="3"/>
        <v>A</v>
      </c>
      <c r="L33" s="5">
        <f t="shared" si="4"/>
        <v>1.7529959055547599E-2</v>
      </c>
      <c r="M33" s="6">
        <f t="shared" si="7"/>
        <v>0.73544312941700873</v>
      </c>
      <c r="N33" s="3" t="str">
        <f t="shared" si="5"/>
        <v>A</v>
      </c>
      <c r="O33" s="3" t="str">
        <f t="shared" si="6"/>
        <v>AAA</v>
      </c>
    </row>
    <row r="34" spans="1:15" x14ac:dyDescent="0.35">
      <c r="A34" t="s">
        <v>22</v>
      </c>
      <c r="B34" t="s">
        <v>11</v>
      </c>
      <c r="C34" s="3">
        <v>167</v>
      </c>
      <c r="D34" s="4">
        <v>106768.1</v>
      </c>
      <c r="E34" s="4">
        <v>24597.13</v>
      </c>
      <c r="F34" s="5">
        <f t="shared" si="0"/>
        <v>1.6108806790778432E-2</v>
      </c>
      <c r="G34" s="6">
        <v>0.81981286775344842</v>
      </c>
      <c r="H34" s="3" t="str">
        <f t="shared" si="1"/>
        <v>B</v>
      </c>
      <c r="I34" s="5">
        <f t="shared" si="2"/>
        <v>1.403551726858069E-2</v>
      </c>
      <c r="J34" s="6">
        <v>0.89528925387088953</v>
      </c>
      <c r="K34" s="3" t="str">
        <f t="shared" si="3"/>
        <v>B</v>
      </c>
      <c r="L34" s="5">
        <f t="shared" si="4"/>
        <v>1.6639037568031589E-2</v>
      </c>
      <c r="M34" s="6">
        <f t="shared" si="7"/>
        <v>0.75208216698504038</v>
      </c>
      <c r="N34" s="3" t="str">
        <f t="shared" si="5"/>
        <v>A</v>
      </c>
      <c r="O34" s="3" t="str">
        <f t="shared" si="6"/>
        <v>BBA</v>
      </c>
    </row>
    <row r="35" spans="1:15" x14ac:dyDescent="0.35">
      <c r="A35" t="s">
        <v>18</v>
      </c>
      <c r="B35" t="s">
        <v>11</v>
      </c>
      <c r="C35" s="3">
        <v>208</v>
      </c>
      <c r="D35" s="4">
        <v>157614.93</v>
      </c>
      <c r="E35" s="4">
        <v>24543.41</v>
      </c>
      <c r="F35" s="5">
        <f t="shared" si="0"/>
        <v>2.0063663547795891E-2</v>
      </c>
      <c r="G35" s="6">
        <v>0.60538246358637982</v>
      </c>
      <c r="H35" s="3" t="str">
        <f t="shared" si="1"/>
        <v>A</v>
      </c>
      <c r="I35" s="5">
        <f t="shared" si="2"/>
        <v>2.0719738122165109E-2</v>
      </c>
      <c r="J35" s="6">
        <v>0.61132539876975422</v>
      </c>
      <c r="K35" s="3" t="str">
        <f t="shared" si="3"/>
        <v>A</v>
      </c>
      <c r="L35" s="5">
        <f t="shared" si="4"/>
        <v>1.6602697999221951E-2</v>
      </c>
      <c r="M35" s="6">
        <f t="shared" si="7"/>
        <v>0.76868486498426236</v>
      </c>
      <c r="N35" s="3" t="str">
        <f t="shared" si="5"/>
        <v>A</v>
      </c>
      <c r="O35" s="3" t="str">
        <f t="shared" si="6"/>
        <v>AAA</v>
      </c>
    </row>
    <row r="36" spans="1:15" x14ac:dyDescent="0.35">
      <c r="A36" t="s">
        <v>7</v>
      </c>
      <c r="B36" t="s">
        <v>5</v>
      </c>
      <c r="C36" s="3">
        <v>147</v>
      </c>
      <c r="D36" s="4">
        <v>94564.75</v>
      </c>
      <c r="E36" s="4">
        <v>22659.55</v>
      </c>
      <c r="F36" s="5">
        <f t="shared" ref="F36:F53" si="8">C36/$C$54</f>
        <v>1.4179608372721135E-2</v>
      </c>
      <c r="G36" s="6">
        <v>0.87894279926690455</v>
      </c>
      <c r="H36" s="3" t="str">
        <f t="shared" ref="H36:H53" si="9">IF(G36&lt;80%,"A",IF(G36&lt;95%,"B","C"))</f>
        <v>B</v>
      </c>
      <c r="I36" s="5">
        <f t="shared" ref="I36:I53" si="10">D36/$D$54</f>
        <v>1.2431289698177786E-2</v>
      </c>
      <c r="J36" s="6">
        <v>0.93488113704136599</v>
      </c>
      <c r="K36" s="3" t="str">
        <f t="shared" ref="K36:K53" si="11">IF(J36&lt;80%,"A",IF(J36&lt;95%,"B","C"))</f>
        <v>B</v>
      </c>
      <c r="L36" s="5">
        <f t="shared" ref="L36:L53" si="12">E36/$E$54</f>
        <v>1.5328337237909065E-2</v>
      </c>
      <c r="M36" s="6">
        <f t="shared" si="7"/>
        <v>0.78401320222217141</v>
      </c>
      <c r="N36" s="3" t="str">
        <f t="shared" si="5"/>
        <v>A</v>
      </c>
      <c r="O36" s="3" t="str">
        <f t="shared" si="6"/>
        <v>BBA</v>
      </c>
    </row>
    <row r="37" spans="1:15" x14ac:dyDescent="0.35">
      <c r="A37" t="s">
        <v>39</v>
      </c>
      <c r="B37" t="s">
        <v>5</v>
      </c>
      <c r="C37" s="3">
        <v>190</v>
      </c>
      <c r="D37" s="4">
        <v>129454.9</v>
      </c>
      <c r="E37" s="4">
        <v>22231.279999999999</v>
      </c>
      <c r="F37" s="5">
        <f t="shared" si="8"/>
        <v>1.8327384971544323E-2</v>
      </c>
      <c r="G37" s="6">
        <v>0.69904504678306156</v>
      </c>
      <c r="H37" s="3" t="str">
        <f t="shared" si="9"/>
        <v>A</v>
      </c>
      <c r="I37" s="5">
        <f t="shared" si="10"/>
        <v>1.701787785351979E-2</v>
      </c>
      <c r="J37" s="6">
        <v>0.75941773906756116</v>
      </c>
      <c r="K37" s="3" t="str">
        <f t="shared" si="11"/>
        <v>A</v>
      </c>
      <c r="L37" s="5">
        <f t="shared" si="12"/>
        <v>1.5038628616648743E-2</v>
      </c>
      <c r="M37" s="6">
        <f t="shared" si="7"/>
        <v>0.79905183083882014</v>
      </c>
      <c r="N37" s="3" t="str">
        <f t="shared" si="5"/>
        <v>A</v>
      </c>
      <c r="O37" s="3" t="str">
        <f t="shared" si="6"/>
        <v>AAA</v>
      </c>
    </row>
    <row r="38" spans="1:15" x14ac:dyDescent="0.35">
      <c r="A38" t="s">
        <v>16</v>
      </c>
      <c r="B38" t="s">
        <v>3</v>
      </c>
      <c r="C38" s="3">
        <v>192</v>
      </c>
      <c r="D38" s="4">
        <v>117473.36</v>
      </c>
      <c r="E38" s="4">
        <v>21950.99</v>
      </c>
      <c r="F38" s="5">
        <f t="shared" si="8"/>
        <v>1.8520304813350052E-2</v>
      </c>
      <c r="G38" s="6">
        <v>0.66239027683997298</v>
      </c>
      <c r="H38" s="3" t="str">
        <f t="shared" si="9"/>
        <v>A</v>
      </c>
      <c r="I38" s="5">
        <f t="shared" si="10"/>
        <v>1.5442808974573828E-2</v>
      </c>
      <c r="J38" s="6">
        <v>0.80683755105898092</v>
      </c>
      <c r="K38" s="3" t="str">
        <f t="shared" si="11"/>
        <v>B</v>
      </c>
      <c r="L38" s="5">
        <f t="shared" si="12"/>
        <v>1.4849022925255336E-2</v>
      </c>
      <c r="M38" s="6">
        <f t="shared" si="7"/>
        <v>0.8139008537640755</v>
      </c>
      <c r="N38" s="3" t="str">
        <f t="shared" si="5"/>
        <v>B</v>
      </c>
      <c r="O38" s="3" t="str">
        <f t="shared" si="6"/>
        <v>ABB</v>
      </c>
    </row>
    <row r="39" spans="1:15" x14ac:dyDescent="0.35">
      <c r="A39" t="s">
        <v>30</v>
      </c>
      <c r="B39" t="s">
        <v>11</v>
      </c>
      <c r="C39" s="3">
        <v>166</v>
      </c>
      <c r="D39" s="4">
        <v>111812.03</v>
      </c>
      <c r="E39" s="4">
        <v>21895.81</v>
      </c>
      <c r="F39" s="5">
        <f t="shared" si="8"/>
        <v>1.6012346869875568E-2</v>
      </c>
      <c r="G39" s="6">
        <v>0.83582521462332393</v>
      </c>
      <c r="H39" s="3" t="str">
        <f t="shared" si="9"/>
        <v>B</v>
      </c>
      <c r="I39" s="5">
        <f t="shared" si="10"/>
        <v>1.4698582047447338E-2</v>
      </c>
      <c r="J39" s="6">
        <v>0.86688845045290985</v>
      </c>
      <c r="K39" s="3" t="str">
        <f t="shared" si="11"/>
        <v>B</v>
      </c>
      <c r="L39" s="5">
        <f t="shared" si="12"/>
        <v>1.4811695721105746E-2</v>
      </c>
      <c r="M39" s="6">
        <f t="shared" si="7"/>
        <v>0.82871254948518125</v>
      </c>
      <c r="N39" s="3" t="str">
        <f t="shared" si="5"/>
        <v>B</v>
      </c>
      <c r="O39" s="3" t="str">
        <f t="shared" si="6"/>
        <v>BBB</v>
      </c>
    </row>
    <row r="40" spans="1:15" x14ac:dyDescent="0.35">
      <c r="A40" t="s">
        <v>39</v>
      </c>
      <c r="B40" t="s">
        <v>3</v>
      </c>
      <c r="C40" s="3">
        <v>143</v>
      </c>
      <c r="D40" s="4">
        <v>116516.53</v>
      </c>
      <c r="E40" s="4">
        <v>21733.29</v>
      </c>
      <c r="F40" s="5">
        <f t="shared" si="8"/>
        <v>1.3793768689109675E-2</v>
      </c>
      <c r="G40" s="6">
        <v>0.90662679656602674</v>
      </c>
      <c r="H40" s="3" t="str">
        <f t="shared" si="9"/>
        <v>B</v>
      </c>
      <c r="I40" s="5">
        <f t="shared" si="10"/>
        <v>1.5317026048886325E-2</v>
      </c>
      <c r="J40" s="6">
        <v>0.82215457710786721</v>
      </c>
      <c r="K40" s="3" t="str">
        <f t="shared" si="11"/>
        <v>B</v>
      </c>
      <c r="L40" s="5">
        <f t="shared" si="12"/>
        <v>1.4701757025593037E-2</v>
      </c>
      <c r="M40" s="6">
        <f t="shared" si="7"/>
        <v>0.84341430651077431</v>
      </c>
      <c r="N40" s="3" t="str">
        <f t="shared" si="5"/>
        <v>B</v>
      </c>
      <c r="O40" s="3" t="str">
        <f t="shared" si="6"/>
        <v>BBB</v>
      </c>
    </row>
    <row r="41" spans="1:15" x14ac:dyDescent="0.35">
      <c r="A41" t="s">
        <v>40</v>
      </c>
      <c r="B41" t="s">
        <v>5</v>
      </c>
      <c r="C41" s="3">
        <v>189</v>
      </c>
      <c r="D41" s="4">
        <v>116349.02</v>
      </c>
      <c r="E41" s="4">
        <v>21293.88</v>
      </c>
      <c r="F41" s="5">
        <f t="shared" si="8"/>
        <v>1.8230925050641458E-2</v>
      </c>
      <c r="G41" s="6">
        <v>0.71727597183370306</v>
      </c>
      <c r="H41" s="3" t="str">
        <f t="shared" si="9"/>
        <v>A</v>
      </c>
      <c r="I41" s="5">
        <f t="shared" si="10"/>
        <v>1.5295005524987708E-2</v>
      </c>
      <c r="J41" s="6">
        <v>0.83744958263285496</v>
      </c>
      <c r="K41" s="3" t="str">
        <f t="shared" si="11"/>
        <v>B</v>
      </c>
      <c r="L41" s="5">
        <f t="shared" si="12"/>
        <v>1.4404512611396391E-2</v>
      </c>
      <c r="M41" s="6">
        <f t="shared" si="7"/>
        <v>0.85781881912217073</v>
      </c>
      <c r="N41" s="3" t="str">
        <f t="shared" si="5"/>
        <v>B</v>
      </c>
      <c r="O41" s="3" t="str">
        <f t="shared" si="6"/>
        <v>ABB</v>
      </c>
    </row>
    <row r="42" spans="1:15" x14ac:dyDescent="0.35">
      <c r="A42" t="s">
        <v>35</v>
      </c>
      <c r="B42" t="s">
        <v>11</v>
      </c>
      <c r="C42" s="3">
        <v>180</v>
      </c>
      <c r="D42" s="4">
        <v>117728.37</v>
      </c>
      <c r="E42" s="4">
        <v>20830.419999999998</v>
      </c>
      <c r="F42" s="5">
        <f t="shared" si="8"/>
        <v>1.7362785762515674E-2</v>
      </c>
      <c r="G42" s="6">
        <v>0.77013600848847297</v>
      </c>
      <c r="H42" s="3" t="str">
        <f t="shared" si="9"/>
        <v>A</v>
      </c>
      <c r="I42" s="5">
        <f t="shared" si="10"/>
        <v>1.5476332070504736E-2</v>
      </c>
      <c r="J42" s="6">
        <v>0.79139474208440708</v>
      </c>
      <c r="K42" s="3" t="str">
        <f t="shared" si="11"/>
        <v>A</v>
      </c>
      <c r="L42" s="5">
        <f t="shared" si="12"/>
        <v>1.4090999272593045E-2</v>
      </c>
      <c r="M42" s="6">
        <f t="shared" si="7"/>
        <v>0.87190981839476378</v>
      </c>
      <c r="N42" s="3" t="str">
        <f t="shared" si="5"/>
        <v>B</v>
      </c>
      <c r="O42" s="3" t="str">
        <f t="shared" si="6"/>
        <v>AAB</v>
      </c>
    </row>
    <row r="43" spans="1:15" x14ac:dyDescent="0.35">
      <c r="A43" t="s">
        <v>38</v>
      </c>
      <c r="B43" t="s">
        <v>11</v>
      </c>
      <c r="C43" s="3">
        <v>107</v>
      </c>
      <c r="D43" s="4">
        <v>93595.31</v>
      </c>
      <c r="E43" s="4">
        <v>20239.68</v>
      </c>
      <c r="F43" s="5">
        <f t="shared" si="8"/>
        <v>1.0321211536606541E-2</v>
      </c>
      <c r="G43" s="6">
        <v>0.98987170830519922</v>
      </c>
      <c r="H43" s="3" t="str">
        <f t="shared" si="9"/>
        <v>C</v>
      </c>
      <c r="I43" s="5">
        <f t="shared" si="10"/>
        <v>1.230384908753797E-2</v>
      </c>
      <c r="J43" s="6">
        <v>0.94718498612890401</v>
      </c>
      <c r="K43" s="3" t="str">
        <f t="shared" si="11"/>
        <v>B</v>
      </c>
      <c r="L43" s="5">
        <f t="shared" si="12"/>
        <v>1.3691385778948097E-2</v>
      </c>
      <c r="M43" s="6">
        <f t="shared" si="7"/>
        <v>0.88560120417371191</v>
      </c>
      <c r="N43" s="3" t="str">
        <f t="shared" si="5"/>
        <v>B</v>
      </c>
      <c r="O43" s="3" t="str">
        <f t="shared" si="6"/>
        <v>CBB</v>
      </c>
    </row>
    <row r="44" spans="1:15" x14ac:dyDescent="0.35">
      <c r="A44" t="s">
        <v>13</v>
      </c>
      <c r="B44" t="s">
        <v>3</v>
      </c>
      <c r="C44" s="3">
        <v>126</v>
      </c>
      <c r="D44" s="4">
        <v>89372.13</v>
      </c>
      <c r="E44" s="4">
        <v>19593.25</v>
      </c>
      <c r="F44" s="5">
        <f t="shared" si="8"/>
        <v>1.2153950033760972E-2</v>
      </c>
      <c r="G44" s="6">
        <v>0.95803993440725377</v>
      </c>
      <c r="H44" s="3" t="str">
        <f t="shared" si="9"/>
        <v>C</v>
      </c>
      <c r="I44" s="5">
        <f t="shared" si="10"/>
        <v>1.1748678434334209E-2</v>
      </c>
      <c r="J44" s="6">
        <v>0.95893366456323825</v>
      </c>
      <c r="K44" s="3" t="str">
        <f t="shared" si="11"/>
        <v>C</v>
      </c>
      <c r="L44" s="5">
        <f t="shared" si="12"/>
        <v>1.3254100085247139E-2</v>
      </c>
      <c r="M44" s="6">
        <f t="shared" si="7"/>
        <v>0.8988553042589591</v>
      </c>
      <c r="N44" s="3" t="str">
        <f t="shared" si="5"/>
        <v>B</v>
      </c>
      <c r="O44" s="3" t="str">
        <f t="shared" si="6"/>
        <v>CCB</v>
      </c>
    </row>
    <row r="45" spans="1:15" x14ac:dyDescent="0.35">
      <c r="A45" t="s">
        <v>28</v>
      </c>
      <c r="B45" t="s">
        <v>11</v>
      </c>
      <c r="C45" s="3">
        <v>150</v>
      </c>
      <c r="D45" s="4">
        <v>125520.51</v>
      </c>
      <c r="E45" s="4">
        <v>18962.3</v>
      </c>
      <c r="F45" s="5">
        <f t="shared" si="8"/>
        <v>1.4468988135429729E-2</v>
      </c>
      <c r="G45" s="6">
        <v>0.86476319089418341</v>
      </c>
      <c r="H45" s="3" t="str">
        <f t="shared" si="9"/>
        <v>B</v>
      </c>
      <c r="I45" s="5">
        <f t="shared" si="10"/>
        <v>1.650067094634123E-2</v>
      </c>
      <c r="J45" s="6">
        <v>0.77591841001390238</v>
      </c>
      <c r="K45" s="3" t="str">
        <f t="shared" si="11"/>
        <v>A</v>
      </c>
      <c r="L45" s="5">
        <f t="shared" si="12"/>
        <v>1.2827286031999887E-2</v>
      </c>
      <c r="M45" s="6">
        <f t="shared" si="7"/>
        <v>0.91168259029095899</v>
      </c>
      <c r="N45" s="3" t="str">
        <f t="shared" si="5"/>
        <v>B</v>
      </c>
      <c r="O45" s="3" t="str">
        <f t="shared" si="6"/>
        <v>BAB</v>
      </c>
    </row>
    <row r="46" spans="1:15" x14ac:dyDescent="0.35">
      <c r="A46" t="s">
        <v>23</v>
      </c>
      <c r="B46" t="s">
        <v>11</v>
      </c>
      <c r="C46" s="3">
        <v>133</v>
      </c>
      <c r="D46" s="4">
        <v>112129.27</v>
      </c>
      <c r="E46" s="4">
        <v>18667.419999999998</v>
      </c>
      <c r="F46" s="5">
        <f t="shared" si="8"/>
        <v>1.2829169480081027E-2</v>
      </c>
      <c r="G46" s="6">
        <v>0.93305681489341175</v>
      </c>
      <c r="H46" s="3" t="str">
        <f t="shared" si="9"/>
        <v>B</v>
      </c>
      <c r="I46" s="5">
        <f t="shared" si="10"/>
        <v>1.474028577260761E-2</v>
      </c>
      <c r="J46" s="6">
        <v>0.85218986840546251</v>
      </c>
      <c r="K46" s="3" t="str">
        <f t="shared" si="11"/>
        <v>B</v>
      </c>
      <c r="L46" s="5">
        <f t="shared" si="12"/>
        <v>1.2627810751832601E-2</v>
      </c>
      <c r="M46" s="6">
        <f t="shared" si="7"/>
        <v>0.92431040104279161</v>
      </c>
      <c r="N46" s="3" t="str">
        <f t="shared" si="5"/>
        <v>B</v>
      </c>
      <c r="O46" s="3" t="str">
        <f t="shared" si="6"/>
        <v>BBB</v>
      </c>
    </row>
    <row r="47" spans="1:15" x14ac:dyDescent="0.35">
      <c r="A47" t="s">
        <v>36</v>
      </c>
      <c r="B47" t="s">
        <v>5</v>
      </c>
      <c r="C47" s="3">
        <v>144</v>
      </c>
      <c r="D47" s="4">
        <v>109276.65</v>
      </c>
      <c r="E47" s="4">
        <v>18189.009999999998</v>
      </c>
      <c r="F47" s="5">
        <f t="shared" si="8"/>
        <v>1.389022861001254E-2</v>
      </c>
      <c r="G47" s="6">
        <v>0.8928330278769171</v>
      </c>
      <c r="H47" s="3" t="str">
        <f t="shared" si="9"/>
        <v>B</v>
      </c>
      <c r="I47" s="5">
        <f t="shared" si="10"/>
        <v>1.4365286149399005E-2</v>
      </c>
      <c r="J47" s="6">
        <v>0.88125373660230888</v>
      </c>
      <c r="K47" s="3" t="str">
        <f t="shared" si="11"/>
        <v>B</v>
      </c>
      <c r="L47" s="5">
        <f t="shared" si="12"/>
        <v>1.23041842977332E-2</v>
      </c>
      <c r="M47" s="6">
        <f t="shared" si="7"/>
        <v>0.93661458534052477</v>
      </c>
      <c r="N47" s="3" t="str">
        <f t="shared" si="5"/>
        <v>B</v>
      </c>
      <c r="O47" s="3" t="str">
        <f t="shared" si="6"/>
        <v>BBB</v>
      </c>
    </row>
    <row r="48" spans="1:15" x14ac:dyDescent="0.35">
      <c r="A48" t="s">
        <v>31</v>
      </c>
      <c r="B48" t="s">
        <v>3</v>
      </c>
      <c r="C48" s="3">
        <v>168</v>
      </c>
      <c r="D48" s="4">
        <v>101690.96</v>
      </c>
      <c r="E48" s="4">
        <v>17886.45</v>
      </c>
      <c r="F48" s="5">
        <f t="shared" si="8"/>
        <v>1.6205266711681297E-2</v>
      </c>
      <c r="G48" s="6">
        <v>0.80370406096267</v>
      </c>
      <c r="H48" s="3" t="str">
        <f t="shared" si="9"/>
        <v>B</v>
      </c>
      <c r="I48" s="5">
        <f t="shared" si="10"/>
        <v>1.3368086770660415E-2</v>
      </c>
      <c r="J48" s="6">
        <v>0.92244984734318825</v>
      </c>
      <c r="K48" s="3" t="str">
        <f t="shared" si="11"/>
        <v>B</v>
      </c>
      <c r="L48" s="5">
        <f t="shared" si="12"/>
        <v>1.2099513785092759E-2</v>
      </c>
      <c r="M48" s="6">
        <f t="shared" si="7"/>
        <v>0.94871409912561755</v>
      </c>
      <c r="N48" s="3" t="str">
        <f t="shared" si="5"/>
        <v>B</v>
      </c>
      <c r="O48" s="3" t="str">
        <f t="shared" si="6"/>
        <v>BBB</v>
      </c>
    </row>
    <row r="49" spans="1:15" x14ac:dyDescent="0.35">
      <c r="A49" t="s">
        <v>10</v>
      </c>
      <c r="B49" t="s">
        <v>11</v>
      </c>
      <c r="C49" s="3">
        <v>116</v>
      </c>
      <c r="D49" s="4">
        <v>74192.39</v>
      </c>
      <c r="E49" s="4">
        <v>17562.09</v>
      </c>
      <c r="F49" s="5">
        <f t="shared" si="8"/>
        <v>1.1189350824732323E-2</v>
      </c>
      <c r="G49" s="6">
        <v>0.96922928523198604</v>
      </c>
      <c r="H49" s="3" t="str">
        <f t="shared" si="9"/>
        <v>C</v>
      </c>
      <c r="I49" s="5">
        <f t="shared" si="10"/>
        <v>9.7531806882605685E-3</v>
      </c>
      <c r="J49" s="6">
        <v>0.99044787375422694</v>
      </c>
      <c r="K49" s="3" t="str">
        <f t="shared" si="11"/>
        <v>C</v>
      </c>
      <c r="L49" s="5">
        <f t="shared" si="12"/>
        <v>1.1880096388609237E-2</v>
      </c>
      <c r="M49" s="6">
        <f t="shared" si="7"/>
        <v>0.96059419551422676</v>
      </c>
      <c r="N49" s="3" t="str">
        <f t="shared" si="5"/>
        <v>C</v>
      </c>
      <c r="O49" s="3" t="str">
        <f t="shared" si="6"/>
        <v>CCC</v>
      </c>
    </row>
    <row r="50" spans="1:15" x14ac:dyDescent="0.35">
      <c r="A50" t="s">
        <v>34</v>
      </c>
      <c r="B50" t="s">
        <v>3</v>
      </c>
      <c r="C50" s="3">
        <v>133</v>
      </c>
      <c r="D50" s="4">
        <v>104919.52</v>
      </c>
      <c r="E50" s="4">
        <v>16291.52</v>
      </c>
      <c r="F50" s="5">
        <f t="shared" si="8"/>
        <v>1.2829169480081027E-2</v>
      </c>
      <c r="G50" s="6">
        <v>0.94588598437349281</v>
      </c>
      <c r="H50" s="3" t="str">
        <f t="shared" si="9"/>
        <v>B</v>
      </c>
      <c r="I50" s="5">
        <f t="shared" si="10"/>
        <v>1.3792506701638382E-2</v>
      </c>
      <c r="J50" s="6">
        <v>0.90908176057252787</v>
      </c>
      <c r="K50" s="3" t="str">
        <f t="shared" si="11"/>
        <v>B</v>
      </c>
      <c r="L50" s="5">
        <f t="shared" si="12"/>
        <v>1.1020603351705585E-2</v>
      </c>
      <c r="M50" s="6">
        <f t="shared" si="7"/>
        <v>0.97161479886593238</v>
      </c>
      <c r="N50" s="3" t="str">
        <f t="shared" si="5"/>
        <v>C</v>
      </c>
      <c r="O50" s="3" t="str">
        <f t="shared" si="6"/>
        <v>BBC</v>
      </c>
    </row>
    <row r="51" spans="1:15" x14ac:dyDescent="0.35">
      <c r="A51" t="s">
        <v>9</v>
      </c>
      <c r="B51" t="s">
        <v>5</v>
      </c>
      <c r="C51" s="3">
        <v>107</v>
      </c>
      <c r="D51" s="4">
        <v>72662.97</v>
      </c>
      <c r="E51" s="4">
        <v>14447.55</v>
      </c>
      <c r="F51" s="5">
        <f t="shared" si="8"/>
        <v>1.0321211536606541E-2</v>
      </c>
      <c r="G51" s="6">
        <v>0.97955049676859263</v>
      </c>
      <c r="H51" s="3" t="str">
        <f t="shared" si="9"/>
        <v>C</v>
      </c>
      <c r="I51" s="5">
        <f t="shared" si="10"/>
        <v>9.5521262457734148E-3</v>
      </c>
      <c r="J51" s="6">
        <v>1.0000000000000004</v>
      </c>
      <c r="K51" s="3" t="str">
        <f t="shared" si="11"/>
        <v>C</v>
      </c>
      <c r="L51" s="5">
        <f t="shared" si="12"/>
        <v>9.7732266819752864E-3</v>
      </c>
      <c r="M51" s="6">
        <f t="shared" si="7"/>
        <v>0.98138802554790772</v>
      </c>
      <c r="N51" s="3" t="str">
        <f t="shared" si="5"/>
        <v>C</v>
      </c>
      <c r="O51" s="3" t="str">
        <f t="shared" si="6"/>
        <v>CCC</v>
      </c>
    </row>
    <row r="52" spans="1:15" x14ac:dyDescent="0.35">
      <c r="A52" t="s">
        <v>43</v>
      </c>
      <c r="B52" t="s">
        <v>5</v>
      </c>
      <c r="C52" s="3">
        <v>141</v>
      </c>
      <c r="D52" s="4">
        <v>88841.96</v>
      </c>
      <c r="E52" s="4">
        <v>13869.46</v>
      </c>
      <c r="F52" s="5">
        <f t="shared" si="8"/>
        <v>1.3600848847303944E-2</v>
      </c>
      <c r="G52" s="6">
        <v>0.92022764541333069</v>
      </c>
      <c r="H52" s="3" t="str">
        <f t="shared" si="9"/>
        <v>B</v>
      </c>
      <c r="I52" s="5">
        <f t="shared" si="10"/>
        <v>1.1678983364455815E-2</v>
      </c>
      <c r="J52" s="6">
        <v>0.97061264792769408</v>
      </c>
      <c r="K52" s="3" t="str">
        <f t="shared" si="11"/>
        <v>C</v>
      </c>
      <c r="L52" s="5">
        <f t="shared" si="12"/>
        <v>9.3821704397346918E-3</v>
      </c>
      <c r="M52" s="6">
        <f t="shared" si="7"/>
        <v>0.99077019598764238</v>
      </c>
      <c r="N52" s="3" t="str">
        <f t="shared" si="5"/>
        <v>C</v>
      </c>
      <c r="O52" s="3" t="str">
        <f t="shared" si="6"/>
        <v>BCC</v>
      </c>
    </row>
    <row r="53" spans="1:15" x14ac:dyDescent="0.35">
      <c r="A53" t="s">
        <v>19</v>
      </c>
      <c r="B53" t="s">
        <v>3</v>
      </c>
      <c r="C53" s="3">
        <v>105</v>
      </c>
      <c r="D53" s="4">
        <v>76694.06</v>
      </c>
      <c r="E53" s="4">
        <v>13644.22</v>
      </c>
      <c r="F53" s="5">
        <f t="shared" si="8"/>
        <v>1.012829169480081E-2</v>
      </c>
      <c r="G53" s="6">
        <v>1</v>
      </c>
      <c r="H53" s="3" t="str">
        <f t="shared" si="9"/>
        <v>C</v>
      </c>
      <c r="I53" s="5">
        <f t="shared" si="10"/>
        <v>1.0082045138272232E-2</v>
      </c>
      <c r="J53" s="6">
        <v>0.98069469306596635</v>
      </c>
      <c r="K53" s="3" t="str">
        <f t="shared" si="11"/>
        <v>C</v>
      </c>
      <c r="L53" s="5">
        <f t="shared" si="12"/>
        <v>9.2298040123578624E-3</v>
      </c>
      <c r="M53" s="6">
        <f t="shared" si="7"/>
        <v>1.0000000000000002</v>
      </c>
      <c r="N53" s="3" t="str">
        <f>IF(M53&lt;80%,"A",IF(M53&lt;95%,"B","C"))</f>
        <v>C</v>
      </c>
      <c r="O53" s="3" t="str">
        <f t="shared" si="6"/>
        <v>CCC</v>
      </c>
    </row>
    <row r="54" spans="1:15" x14ac:dyDescent="0.35">
      <c r="A54" t="s">
        <v>45</v>
      </c>
      <c r="C54" s="3">
        <f>SUM(C4:C53)</f>
        <v>10367</v>
      </c>
      <c r="D54" s="3">
        <f>SUM(D4:D53)</f>
        <v>7606994.3099999968</v>
      </c>
      <c r="E54" s="3">
        <f>SUM(E4:E53)</f>
        <v>1478278.4099999997</v>
      </c>
      <c r="F54" s="3"/>
      <c r="G54" s="3"/>
      <c r="H54" s="3"/>
    </row>
  </sheetData>
  <sortState ref="A4:N54">
    <sortCondition descending="1" ref="L4:L54"/>
  </sortState>
  <mergeCells count="1">
    <mergeCell ref="A1:O1"/>
  </mergeCells>
  <conditionalFormatting sqref="H4:H53">
    <cfRule type="cellIs" dxfId="8" priority="7" operator="equal">
      <formula>"A"</formula>
    </cfRule>
    <cfRule type="cellIs" dxfId="7" priority="8" operator="equal">
      <formula>"C"</formula>
    </cfRule>
    <cfRule type="cellIs" dxfId="6" priority="9" operator="equal">
      <formula>"B"</formula>
    </cfRule>
  </conditionalFormatting>
  <conditionalFormatting sqref="K4:K53">
    <cfRule type="cellIs" dxfId="5" priority="4" operator="equal">
      <formula>"A"</formula>
    </cfRule>
    <cfRule type="cellIs" dxfId="4" priority="5" operator="equal">
      <formula>"C"</formula>
    </cfRule>
    <cfRule type="cellIs" dxfId="3" priority="6" operator="equal">
      <formula>"B"</formula>
    </cfRule>
  </conditionalFormatting>
  <conditionalFormatting sqref="N4:N53">
    <cfRule type="cellIs" dxfId="2" priority="1" operator="equal">
      <formula>"A"</formula>
    </cfRule>
    <cfRule type="cellIs" dxfId="1" priority="2" operator="equal">
      <formula>"C"</formula>
    </cfRule>
    <cfRule type="cellIs" dxfId="0" priority="3" operator="equal">
      <formula>"B"</formula>
    </cfRule>
  </conditionalFormatting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F23" sqref="F23"/>
    </sheetView>
  </sheetViews>
  <sheetFormatPr defaultRowHeight="14.5" x14ac:dyDescent="0.35"/>
  <cols>
    <col min="1" max="1" width="12.36328125" bestFit="1" customWidth="1"/>
    <col min="2" max="2" width="16.54296875" customWidth="1"/>
  </cols>
  <sheetData>
    <row r="1" spans="1:3" ht="27.5" customHeight="1" x14ac:dyDescent="0.35">
      <c r="A1" s="12" t="s">
        <v>72</v>
      </c>
      <c r="B1" s="12"/>
      <c r="C1" s="10"/>
    </row>
    <row r="3" spans="1:3" x14ac:dyDescent="0.35">
      <c r="A3" s="7" t="s">
        <v>73</v>
      </c>
      <c r="B3" t="s">
        <v>75</v>
      </c>
    </row>
    <row r="4" spans="1:3" x14ac:dyDescent="0.35">
      <c r="A4" s="8" t="s">
        <v>59</v>
      </c>
      <c r="B4" s="9">
        <v>31</v>
      </c>
    </row>
    <row r="5" spans="1:3" x14ac:dyDescent="0.35">
      <c r="A5" s="8" t="s">
        <v>60</v>
      </c>
      <c r="B5" s="9">
        <v>1</v>
      </c>
    </row>
    <row r="6" spans="1:3" x14ac:dyDescent="0.35">
      <c r="A6" s="8" t="s">
        <v>61</v>
      </c>
      <c r="B6" s="9">
        <v>2</v>
      </c>
    </row>
    <row r="7" spans="1:3" x14ac:dyDescent="0.35">
      <c r="A7" s="8" t="s">
        <v>62</v>
      </c>
      <c r="B7" s="9">
        <v>1</v>
      </c>
    </row>
    <row r="8" spans="1:3" x14ac:dyDescent="0.35">
      <c r="A8" s="8" t="s">
        <v>63</v>
      </c>
      <c r="B8" s="9">
        <v>1</v>
      </c>
    </row>
    <row r="9" spans="1:3" x14ac:dyDescent="0.35">
      <c r="A9" s="8" t="s">
        <v>64</v>
      </c>
      <c r="B9" s="9">
        <v>2</v>
      </c>
    </row>
    <row r="10" spans="1:3" x14ac:dyDescent="0.35">
      <c r="A10" s="8" t="s">
        <v>65</v>
      </c>
      <c r="B10" s="9">
        <v>5</v>
      </c>
    </row>
    <row r="11" spans="1:3" x14ac:dyDescent="0.35">
      <c r="A11" s="8" t="s">
        <v>66</v>
      </c>
      <c r="B11" s="9">
        <v>1</v>
      </c>
    </row>
    <row r="12" spans="1:3" x14ac:dyDescent="0.35">
      <c r="A12" s="8" t="s">
        <v>67</v>
      </c>
      <c r="B12" s="9">
        <v>1</v>
      </c>
    </row>
    <row r="13" spans="1:3" x14ac:dyDescent="0.35">
      <c r="A13" s="8" t="s">
        <v>68</v>
      </c>
      <c r="B13" s="9">
        <v>1</v>
      </c>
    </row>
    <row r="14" spans="1:3" x14ac:dyDescent="0.35">
      <c r="A14" s="8" t="s">
        <v>69</v>
      </c>
      <c r="B14" s="9">
        <v>1</v>
      </c>
    </row>
    <row r="15" spans="1:3" x14ac:dyDescent="0.35">
      <c r="A15" s="8" t="s">
        <v>70</v>
      </c>
      <c r="B15" s="9">
        <v>3</v>
      </c>
    </row>
    <row r="16" spans="1:3" x14ac:dyDescent="0.35">
      <c r="A16" s="8" t="s">
        <v>74</v>
      </c>
      <c r="B16" s="9">
        <v>50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19"/>
  <sheetViews>
    <sheetView tabSelected="1" workbookViewId="0">
      <selection activeCell="A20" sqref="A20"/>
    </sheetView>
  </sheetViews>
  <sheetFormatPr defaultRowHeight="14.5" x14ac:dyDescent="0.35"/>
  <sheetData>
    <row r="2" spans="1:18" x14ac:dyDescent="0.35">
      <c r="A2" s="13" t="s">
        <v>76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</row>
    <row r="3" spans="1:18" x14ac:dyDescent="0.3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spans="1:18" x14ac:dyDescent="0.3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</row>
    <row r="5" spans="1:18" x14ac:dyDescent="0.3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</row>
    <row r="6" spans="1:18" x14ac:dyDescent="0.3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</row>
    <row r="7" spans="1:18" x14ac:dyDescent="0.3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</row>
    <row r="8" spans="1:18" x14ac:dyDescent="0.3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 x14ac:dyDescent="0.3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</row>
    <row r="10" spans="1:18" x14ac:dyDescent="0.3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</row>
    <row r="11" spans="1:18" x14ac:dyDescent="0.3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</row>
    <row r="12" spans="1:18" x14ac:dyDescent="0.35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</row>
    <row r="13" spans="1:18" x14ac:dyDescent="0.3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</row>
    <row r="14" spans="1:18" x14ac:dyDescent="0.3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</row>
    <row r="15" spans="1:18" x14ac:dyDescent="0.3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</row>
    <row r="16" spans="1:18" x14ac:dyDescent="0.3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</row>
    <row r="17" spans="1:18" x14ac:dyDescent="0.3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</row>
    <row r="18" spans="1:18" x14ac:dyDescent="0.3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</row>
    <row r="19" spans="1:18" x14ac:dyDescent="0.3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</row>
  </sheetData>
  <mergeCells count="1">
    <mergeCell ref="A2:R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ABC-анализ</vt:lpstr>
      <vt:lpstr>Распределение по группам</vt:lpstr>
      <vt:lpstr>Выводы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2026-04-13T12:30:52Z</dcterms:created>
  <dcterms:modified xsi:type="dcterms:W3CDTF">2026-04-22T08:34:42Z</dcterms:modified>
</cp:coreProperties>
</file>